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H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APP URL" sheetId="3" state="visible" r:id="rId3"/>
    <sheet xmlns:r="http://schemas.openxmlformats.org/officeDocument/2006/relationships" name="TIME OF DAY" sheetId="4" state="visible" r:id="rId4"/>
    <sheet xmlns:r="http://schemas.openxmlformats.org/officeDocument/2006/relationships" name="EXCHANGE" sheetId="5" state="visible" r:id="rId5"/>
    <sheet xmlns:r="http://schemas.openxmlformats.org/officeDocument/2006/relationships" name="DEVICE" sheetId="6" state="visible" r:id="rId6"/>
    <sheet xmlns:r="http://schemas.openxmlformats.org/officeDocument/2006/relationships" name="AGE" sheetId="7" state="visible" r:id="rId7"/>
    <sheet xmlns:r="http://schemas.openxmlformats.org/officeDocument/2006/relationships" name="GEND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9BC2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1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1" customWidth="1" min="3" max="3"/>
    <col width="9" customWidth="1" min="4" max="4"/>
    <col width="13" customWidth="1" min="5" max="5"/>
  </cols>
  <sheetData>
    <row r="1" ht="14.5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60000</v>
      </c>
      <c r="B2" s="2" t="n">
        <v>300</v>
      </c>
      <c r="C2" s="3">
        <f>IF(A2=0,0,B2/A2)</f>
        <v/>
      </c>
      <c r="D2" s="2" t="inlineStr"/>
      <c r="E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1" customWidth="1" min="4" max="4"/>
    <col width="24" customWidth="1" min="5" max="5"/>
    <col width="26" customWidth="1" min="6" max="6"/>
    <col width="21" customWidth="1" min="7" max="7"/>
    <col width="25" customWidth="1" min="8" max="8"/>
    <col width="33" customWidth="1" min="9" max="9"/>
    <col width="25" customWidth="1" min="10" max="10"/>
  </cols>
  <sheetData>
    <row r="1" ht="14.5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  <c r="H1" s="1" t="inlineStr">
        <is>
          <t>Sum of Starts (Video)</t>
        </is>
      </c>
      <c r="I1" s="1" t="inlineStr">
        <is>
          <t>Sum of Complete Views (Video)</t>
        </is>
      </c>
      <c r="J1" s="1" t="inlineStr">
        <is>
          <t>VCR (Completion Rate)</t>
        </is>
      </c>
    </row>
    <row r="2">
      <c r="A2" s="2" t="inlineStr">
        <is>
          <t>2026-04-22</t>
        </is>
      </c>
      <c r="B2" s="2" t="n">
        <v>60000</v>
      </c>
      <c r="C2" s="2" t="n">
        <v>300</v>
      </c>
      <c r="D2" s="3">
        <f>IF(B2=0,0,C2/B2)</f>
        <v/>
      </c>
      <c r="E2" s="2" t="n">
        <v>0</v>
      </c>
      <c r="F2" s="2" t="n">
        <v>0</v>
      </c>
      <c r="G2" s="3">
        <f>IF(F2=0,0,E2/F2)</f>
        <v/>
      </c>
      <c r="H2" s="2" t="n">
        <v>0</v>
      </c>
      <c r="I2" s="2" t="n">
        <v>0</v>
      </c>
      <c r="J2" s="3">
        <f>IF(H2=0,0,I2/H2)</f>
        <v/>
      </c>
    </row>
    <row r="3">
      <c r="A3" s="4" t="inlineStr">
        <is>
          <t>Grand Total</t>
        </is>
      </c>
      <c r="B3" s="4">
        <f>SUM(B2:B2)</f>
        <v/>
      </c>
      <c r="C3" s="4">
        <f>SUM(C2:C2)</f>
        <v/>
      </c>
      <c r="D3" s="5">
        <f>IF(B3=0,0,C3/B3)</f>
        <v/>
      </c>
      <c r="E3" s="4">
        <f>SUM(E2:E2)</f>
        <v/>
      </c>
      <c r="F3" s="4">
        <f>SUM(F2:F2)</f>
        <v/>
      </c>
      <c r="G3" s="5">
        <f>IF(F3=0,0,E3/F3)</f>
        <v/>
      </c>
      <c r="H3" s="4">
        <f>SUM(H2:H2)</f>
        <v/>
      </c>
      <c r="I3" s="4">
        <f>SUM(I2:I2)</f>
        <v/>
      </c>
      <c r="J3" s="5">
        <f>IF(H3=0,0,I3/H3)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  <col width="27" customWidth="1" min="4" max="4"/>
  </cols>
  <sheetData>
    <row r="1" ht="14.5" customHeight="1">
      <c r="A1" s="1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CTR</t>
        </is>
      </c>
    </row>
    <row r="2">
      <c r="A2" s="6" t="inlineStr">
        <is>
          <t>17goforward.com</t>
        </is>
      </c>
      <c r="B2" s="7" t="n">
        <v>2754</v>
      </c>
      <c r="C2" s="7" t="n">
        <v>15</v>
      </c>
      <c r="D2" s="8">
        <f>IF(B2=0,0,C2/B2)</f>
        <v/>
      </c>
    </row>
    <row r="3">
      <c r="A3" s="6" t="inlineStr">
        <is>
          <t>new7.storm.mg</t>
        </is>
      </c>
      <c r="B3" s="7" t="n">
        <v>2601</v>
      </c>
      <c r="C3" s="7" t="n">
        <v>16</v>
      </c>
      <c r="D3" s="8">
        <f>IF(B3=0,0,C3/B3)</f>
        <v/>
      </c>
    </row>
    <row r="4">
      <c r="A4" s="6" t="inlineStr">
        <is>
          <t>mingpao.com</t>
        </is>
      </c>
      <c r="B4" s="7" t="n">
        <v>3527</v>
      </c>
      <c r="C4" s="7" t="n">
        <v>33</v>
      </c>
      <c r="D4" s="8">
        <f>IF(B4=0,0,C4/B4)</f>
        <v/>
      </c>
    </row>
    <row r="5">
      <c r="A5" s="6" t="inlineStr">
        <is>
          <t>cook1cook.com</t>
        </is>
      </c>
      <c r="B5" s="7" t="n">
        <v>2254</v>
      </c>
      <c r="C5" s="7" t="n">
        <v>13</v>
      </c>
      <c r="D5" s="8">
        <f>IF(B5=0,0,C5/B5)</f>
        <v/>
      </c>
    </row>
    <row r="6">
      <c r="A6" s="6" t="inlineStr">
        <is>
          <t>stockq.org</t>
        </is>
      </c>
      <c r="B6" s="7" t="n">
        <v>2786</v>
      </c>
      <c r="C6" s="7" t="n">
        <v>16</v>
      </c>
      <c r="D6" s="8">
        <f>IF(B6=0,0,C6/B6)</f>
        <v/>
      </c>
    </row>
    <row r="7">
      <c r="A7" s="6" t="inlineStr">
        <is>
          <t>pixnet.net</t>
        </is>
      </c>
      <c r="B7" s="7" t="n">
        <v>5340</v>
      </c>
      <c r="C7" s="7" t="n">
        <v>6</v>
      </c>
      <c r="D7" s="8">
        <f>IF(B7=0,0,C7/B7)</f>
        <v/>
      </c>
    </row>
    <row r="8">
      <c r="A8" s="6" t="inlineStr">
        <is>
          <t>hket.com</t>
        </is>
      </c>
      <c r="B8" s="7" t="n">
        <v>2423</v>
      </c>
      <c r="C8" s="7" t="n">
        <v>13</v>
      </c>
      <c r="D8" s="8">
        <f>IF(B8=0,0,C8/B8)</f>
        <v/>
      </c>
    </row>
    <row r="9">
      <c r="A9" s="6" t="inlineStr">
        <is>
          <t>South China Morning Post - Android (com.scmp.newspulse)</t>
        </is>
      </c>
      <c r="B9" s="7" t="n">
        <v>3199</v>
      </c>
      <c r="C9" s="7" t="n">
        <v>19</v>
      </c>
      <c r="D9" s="8">
        <f>IF(B9=0,0,C9/B9)</f>
        <v/>
      </c>
    </row>
    <row r="10">
      <c r="A10" s="6" t="inlineStr">
        <is>
          <t>read01.com</t>
        </is>
      </c>
      <c r="B10" s="7" t="n">
        <v>985</v>
      </c>
      <c r="C10" s="7" t="n">
        <v>5</v>
      </c>
      <c r="D10" s="8">
        <f>IF(B10=0,0,C10/B10)</f>
        <v/>
      </c>
    </row>
    <row r="11">
      <c r="A11" s="6" t="inlineStr">
        <is>
          <t>lihkg.com</t>
        </is>
      </c>
      <c r="B11" s="7" t="n">
        <v>1293</v>
      </c>
      <c r="C11" s="7" t="n">
        <v>6</v>
      </c>
      <c r="D11" s="8">
        <f>IF(B11=0,0,C11/B11)</f>
        <v/>
      </c>
    </row>
    <row r="12">
      <c r="A12" s="6" t="inlineStr">
        <is>
          <t>scmp.com</t>
        </is>
      </c>
      <c r="B12" s="7" t="n">
        <v>1340</v>
      </c>
      <c r="C12" s="7" t="n">
        <v>8</v>
      </c>
      <c r="D12" s="8">
        <f>IF(B12=0,0,C12/B12)</f>
        <v/>
      </c>
    </row>
    <row r="13">
      <c r="A13" s="6" t="inlineStr">
        <is>
          <t>juduo.cc</t>
        </is>
      </c>
      <c r="B13" s="7" t="n">
        <v>950</v>
      </c>
      <c r="C13" s="7" t="n">
        <v>5</v>
      </c>
      <c r="D13" s="8">
        <f>IF(B13=0,0,C13/B13)</f>
        <v/>
      </c>
    </row>
    <row r="14">
      <c r="A14" s="6" t="inlineStr">
        <is>
          <t>sundaymore.com</t>
        </is>
      </c>
      <c r="B14" s="7" t="n">
        <v>953</v>
      </c>
      <c r="C14" s="7" t="n">
        <v>6</v>
      </c>
      <c r="D14" s="8">
        <f>IF(B14=0,0,C14/B14)</f>
        <v/>
      </c>
    </row>
    <row r="15">
      <c r="A15" s="6" t="inlineStr">
        <is>
          <t>am730.com.hk</t>
        </is>
      </c>
      <c r="B15" s="7" t="n">
        <v>1274</v>
      </c>
      <c r="C15" s="7" t="n">
        <v>9</v>
      </c>
      <c r="D15" s="8">
        <f>IF(B15=0,0,C15/B15)</f>
        <v/>
      </c>
    </row>
    <row r="16">
      <c r="A16" s="6" t="inlineStr">
        <is>
          <t>parttime.hk</t>
        </is>
      </c>
      <c r="B16" s="7" t="n">
        <v>1170</v>
      </c>
      <c r="C16" s="7" t="n">
        <v>6</v>
      </c>
      <c r="D16" s="8">
        <f>IF(B16=0,0,C16/B16)</f>
        <v/>
      </c>
    </row>
    <row r="17">
      <c r="A17" s="6" t="inlineStr">
        <is>
          <t>theinitium.com</t>
        </is>
      </c>
      <c r="B17" s="7" t="n">
        <v>1238</v>
      </c>
      <c r="C17" s="7" t="n">
        <v>5</v>
      </c>
      <c r="D17" s="8">
        <f>IF(B17=0,0,C17/B17)</f>
        <v/>
      </c>
    </row>
    <row r="18">
      <c r="A18" s="6" t="inlineStr">
        <is>
          <t>moshuiping.com</t>
        </is>
      </c>
      <c r="B18" s="7" t="n">
        <v>1605</v>
      </c>
      <c r="C18" s="7" t="n">
        <v>9</v>
      </c>
      <c r="D18" s="8">
        <f>IF(B18=0,0,C18/B18)</f>
        <v/>
      </c>
    </row>
    <row r="19">
      <c r="A19" s="6" t="inlineStr">
        <is>
          <t>horofriend88.com</t>
        </is>
      </c>
      <c r="B19" s="7" t="n">
        <v>1467</v>
      </c>
      <c r="C19" s="7" t="n">
        <v>8</v>
      </c>
      <c r="D19" s="8">
        <f>IF(B19=0,0,C19/B19)</f>
        <v/>
      </c>
    </row>
    <row r="20">
      <c r="A20" s="6" t="inlineStr">
        <is>
          <t>paper.hket.com</t>
        </is>
      </c>
      <c r="B20" s="7" t="n">
        <v>1564</v>
      </c>
      <c r="C20" s="7" t="n">
        <v>7</v>
      </c>
      <c r="D20" s="8">
        <f>IF(B20=0,0,C20/B20)</f>
        <v/>
      </c>
    </row>
    <row r="21">
      <c r="A21" s="6" t="inlineStr">
        <is>
          <t>star.ettoday.net</t>
        </is>
      </c>
      <c r="B21" s="7" t="n">
        <v>1000</v>
      </c>
      <c r="C21" s="7" t="n">
        <v>6</v>
      </c>
      <c r="D21" s="8">
        <f>IF(B21=0,0,C21/B21)</f>
        <v/>
      </c>
    </row>
    <row r="22">
      <c r="A22" s="6" t="inlineStr">
        <is>
          <t>now.com</t>
        </is>
      </c>
      <c r="B22" s="7" t="n">
        <v>391</v>
      </c>
      <c r="C22" s="7" t="n">
        <v>2</v>
      </c>
      <c r="D22" s="8">
        <f>IF(B22=0,0,C22/B22)</f>
        <v/>
      </c>
    </row>
    <row r="23">
      <c r="A23" s="6" t="inlineStr">
        <is>
          <t>hk.ulifestyle.com.hk</t>
        </is>
      </c>
      <c r="B23" s="7" t="n">
        <v>372</v>
      </c>
      <c r="C23" s="7" t="n">
        <v>3</v>
      </c>
      <c r="D23" s="8">
        <f>IF(B23=0,0,C23/B23)</f>
        <v/>
      </c>
    </row>
    <row r="24">
      <c r="A24" s="6" t="inlineStr">
        <is>
          <t>flyday.hk</t>
        </is>
      </c>
      <c r="B24" s="7" t="n">
        <v>501</v>
      </c>
      <c r="C24" s="7" t="n">
        <v>2</v>
      </c>
      <c r="D24" s="8">
        <f>IF(B24=0,0,C24/B24)</f>
        <v/>
      </c>
    </row>
    <row r="25">
      <c r="A25" s="6" t="inlineStr">
        <is>
          <t>愛料理 - Android (com.polydice.icook)</t>
        </is>
      </c>
      <c r="B25" s="7" t="n">
        <v>317</v>
      </c>
      <c r="C25" s="7" t="n">
        <v>3</v>
      </c>
      <c r="D25" s="8">
        <f>IF(B25=0,0,C25/B25)</f>
        <v/>
      </c>
    </row>
    <row r="26">
      <c r="A26" s="6" t="inlineStr">
        <is>
          <t>South China Morning Post - iOS (623201967)</t>
        </is>
      </c>
      <c r="B26" s="7" t="n">
        <v>25</v>
      </c>
      <c r="C26" s="7" t="n">
        <v>0</v>
      </c>
      <c r="D26" s="8">
        <f>IF(B26=0,0,C26/B26)</f>
        <v/>
      </c>
    </row>
    <row r="27">
      <c r="A27" s="6" t="inlineStr">
        <is>
          <t>beanpanda.com</t>
        </is>
      </c>
      <c r="B27" s="7" t="n">
        <v>24</v>
      </c>
      <c r="C27" s="7" t="n">
        <v>0</v>
      </c>
      <c r="D27" s="8">
        <f>IF(B27=0,0,C27/B27)</f>
        <v/>
      </c>
    </row>
    <row r="28">
      <c r="A28" s="6" t="inlineStr">
        <is>
          <t>etnet.com.hk</t>
        </is>
      </c>
      <c r="B28" s="7" t="n">
        <v>463</v>
      </c>
      <c r="C28" s="7" t="n">
        <v>2</v>
      </c>
      <c r="D28" s="8">
        <f>IF(B28=0,0,C28/B28)</f>
        <v/>
      </c>
    </row>
    <row r="29">
      <c r="A29" s="6" t="inlineStr">
        <is>
          <t>timeout.com.hk</t>
        </is>
      </c>
      <c r="B29" s="7" t="n">
        <v>471</v>
      </c>
      <c r="C29" s="7" t="n">
        <v>3</v>
      </c>
      <c r="D29" s="8">
        <f>IF(B29=0,0,C29/B29)</f>
        <v/>
      </c>
    </row>
    <row r="30">
      <c r="A30" s="6" t="inlineStr">
        <is>
          <t>nownews.com</t>
        </is>
      </c>
      <c r="B30" s="7" t="n">
        <v>71</v>
      </c>
      <c r="C30" s="7" t="n">
        <v>0</v>
      </c>
      <c r="D30" s="8">
        <f>IF(B30=0,0,C30/B30)</f>
        <v/>
      </c>
    </row>
    <row r="31">
      <c r="A31" s="6" t="inlineStr">
        <is>
          <t>storm.mg</t>
        </is>
      </c>
      <c r="B31" s="7" t="n">
        <v>379</v>
      </c>
      <c r="C31" s="7" t="n">
        <v>2</v>
      </c>
      <c r="D31" s="8">
        <f>IF(B31=0,0,C31/B31)</f>
        <v/>
      </c>
    </row>
    <row r="32">
      <c r="A32" s="6" t="inlineStr">
        <is>
          <t>publicholidays.hk</t>
        </is>
      </c>
      <c r="B32" s="7" t="n">
        <v>352</v>
      </c>
      <c r="C32" s="7" t="n">
        <v>3</v>
      </c>
      <c r="D32" s="8">
        <f>IF(B32=0,0,C32/B32)</f>
        <v/>
      </c>
    </row>
    <row r="33">
      <c r="A33" s="6" t="inlineStr">
        <is>
          <t>utravel.com.hk</t>
        </is>
      </c>
      <c r="B33" s="7" t="n">
        <v>168</v>
      </c>
      <c r="C33" s="7" t="n">
        <v>0</v>
      </c>
      <c r="D33" s="8">
        <f>IF(B33=0,0,C33/B33)</f>
        <v/>
      </c>
    </row>
    <row r="34">
      <c r="A34" s="6" t="inlineStr">
        <is>
          <t>香討 - discuss.com.hk 香港討論區 - iOS (623777225)</t>
        </is>
      </c>
      <c r="B34" s="7" t="n">
        <v>268</v>
      </c>
      <c r="C34" s="7" t="n">
        <v>2</v>
      </c>
      <c r="D34" s="8">
        <f>IF(B34=0,0,C34/B34)</f>
        <v/>
      </c>
    </row>
    <row r="35">
      <c r="A35" s="6" t="inlineStr">
        <is>
          <t>881903.com</t>
        </is>
      </c>
      <c r="B35" s="7" t="n">
        <v>110</v>
      </c>
      <c r="C35" s="7" t="n">
        <v>0</v>
      </c>
      <c r="D35" s="8">
        <f>IF(B35=0,0,C35/B35)</f>
        <v/>
      </c>
    </row>
    <row r="36">
      <c r="A36" s="6" t="inlineStr">
        <is>
          <t>now 新聞 - 24小時直播 - iOS (480933058)</t>
        </is>
      </c>
      <c r="B36" s="7" t="n">
        <v>422</v>
      </c>
      <c r="C36" s="7" t="n">
        <v>2</v>
      </c>
      <c r="D36" s="8">
        <f>IF(B36=0,0,C36/B36)</f>
        <v/>
      </c>
    </row>
    <row r="37">
      <c r="A37" s="6" t="inlineStr">
        <is>
          <t>nmplus.hk</t>
        </is>
      </c>
      <c r="B37" s="7" t="n">
        <v>97</v>
      </c>
      <c r="C37" s="7" t="n">
        <v>0</v>
      </c>
      <c r="D37" s="8">
        <f>IF(B37=0,0,C37/B37)</f>
        <v/>
      </c>
    </row>
    <row r="38">
      <c r="A38" s="6" t="inlineStr">
        <is>
          <t>iCook 愛料理 - iOS (554065086)</t>
        </is>
      </c>
      <c r="B38" s="7" t="n">
        <v>296</v>
      </c>
      <c r="C38" s="7" t="n">
        <v>1</v>
      </c>
      <c r="D38" s="8">
        <f>IF(B38=0,0,C38/B38)</f>
        <v/>
      </c>
    </row>
    <row r="39">
      <c r="A39" s="6" t="inlineStr">
        <is>
          <t>am730 - iOS (350544669)</t>
        </is>
      </c>
      <c r="B39" s="7" t="n">
        <v>200</v>
      </c>
      <c r="C39" s="7" t="n">
        <v>2</v>
      </c>
      <c r="D39" s="8">
        <f>IF(B39=0,0,C39/B39)</f>
        <v/>
      </c>
    </row>
    <row r="40">
      <c r="A40" s="6" t="inlineStr">
        <is>
          <t>Mo PTT - iOS (804745434)</t>
        </is>
      </c>
      <c r="B40" s="7" t="n">
        <v>134</v>
      </c>
      <c r="C40" s="7" t="n">
        <v>0</v>
      </c>
      <c r="D40" s="8">
        <f>IF(B40=0,0,C40/B40)</f>
        <v/>
      </c>
    </row>
    <row r="41">
      <c r="A41" s="6" t="inlineStr">
        <is>
          <t>weekendhk.com</t>
        </is>
      </c>
      <c r="B41" s="7" t="n">
        <v>140</v>
      </c>
      <c r="C41" s="7" t="n">
        <v>0</v>
      </c>
      <c r="D41" s="8">
        <f>IF(B41=0,0,C41/B41)</f>
        <v/>
      </c>
    </row>
    <row r="42">
      <c r="A42" s="6" t="inlineStr">
        <is>
          <t>thenewslens.com</t>
        </is>
      </c>
      <c r="B42" s="7" t="n">
        <v>410</v>
      </c>
      <c r="C42" s="7" t="n">
        <v>2</v>
      </c>
      <c r="D42" s="8">
        <f>IF(B42=0,0,C42/B42)</f>
        <v/>
      </c>
    </row>
    <row r="43">
      <c r="A43" s="6" t="inlineStr">
        <is>
          <t>news.cnyes.com</t>
        </is>
      </c>
      <c r="B43" s="7" t="n">
        <v>216</v>
      </c>
      <c r="C43" s="7" t="n">
        <v>1</v>
      </c>
      <c r="D43" s="8">
        <f>IF(B43=0,0,C43/B43)</f>
        <v/>
      </c>
    </row>
    <row r="44">
      <c r="A44" s="6" t="inlineStr">
        <is>
          <t>skyscanner.com.hk</t>
        </is>
      </c>
      <c r="B44" s="7" t="n">
        <v>338</v>
      </c>
      <c r="C44" s="7" t="n">
        <v>2</v>
      </c>
      <c r="D44" s="8">
        <f>IF(B44=0,0,C44/B44)</f>
        <v/>
      </c>
    </row>
    <row r="45">
      <c r="A45" s="6" t="inlineStr">
        <is>
          <t>viu.tv</t>
        </is>
      </c>
      <c r="B45" s="7" t="n">
        <v>316</v>
      </c>
      <c r="C45" s="7" t="n">
        <v>1</v>
      </c>
      <c r="D45" s="8">
        <f>IF(B45=0,0,C45/B45)</f>
        <v/>
      </c>
    </row>
    <row r="46">
      <c r="A46" s="6" t="inlineStr">
        <is>
          <t>setn.com</t>
        </is>
      </c>
      <c r="B46" s="7" t="n">
        <v>83</v>
      </c>
      <c r="C46" s="7" t="n">
        <v>0</v>
      </c>
      <c r="D46" s="8">
        <f>IF(B46=0,0,C46/B46)</f>
        <v/>
      </c>
    </row>
    <row r="47">
      <c r="A47" s="6" t="inlineStr">
        <is>
          <t>sina.com.hk</t>
        </is>
      </c>
      <c r="B47" s="7" t="n">
        <v>248</v>
      </c>
      <c r="C47" s="7" t="n">
        <v>1</v>
      </c>
      <c r="D47" s="8">
        <f>IF(B47=0,0,C47/B47)</f>
        <v/>
      </c>
    </row>
    <row r="48">
      <c r="A48" s="6" t="inlineStr">
        <is>
          <t>鉅亨網 - iOS (1071014509)</t>
        </is>
      </c>
      <c r="B48" s="7" t="n">
        <v>263</v>
      </c>
      <c r="C48" s="7" t="n">
        <v>2</v>
      </c>
      <c r="D48" s="8">
        <f>IF(B48=0,0,C48/B48)</f>
        <v/>
      </c>
    </row>
    <row r="49">
      <c r="A49" s="6" t="inlineStr">
        <is>
          <t>英漢字典 EC Dictionary - Android (com.csst.ecdict)</t>
        </is>
      </c>
      <c r="B49" s="7" t="n">
        <v>116</v>
      </c>
      <c r="C49" s="7" t="n">
        <v>0</v>
      </c>
      <c r="D49" s="8">
        <f>IF(B49=0,0,C49/B49)</f>
        <v/>
      </c>
    </row>
    <row r="50">
      <c r="A50" s="6" t="inlineStr">
        <is>
          <t>無綫新聞 - iOS (547917626)</t>
        </is>
      </c>
      <c r="B50" s="7" t="n">
        <v>260</v>
      </c>
      <c r="C50" s="7" t="n">
        <v>1</v>
      </c>
      <c r="D50" s="8">
        <f>IF(B50=0,0,C50/B50)</f>
        <v/>
      </c>
    </row>
    <row r="51">
      <c r="A51" s="6" t="inlineStr">
        <is>
          <t>baby-kingdom.com</t>
        </is>
      </c>
      <c r="B51" s="7" t="n">
        <v>127</v>
      </c>
      <c r="C51" s="7" t="n">
        <v>0</v>
      </c>
      <c r="D51" s="8">
        <f>IF(B51=0,0,C51/B51)</f>
        <v/>
      </c>
    </row>
    <row r="52">
      <c r="A52" s="6" t="inlineStr">
        <is>
          <t>juksy.com</t>
        </is>
      </c>
      <c r="B52" s="7" t="n">
        <v>27</v>
      </c>
      <c r="C52" s="7" t="n">
        <v>0</v>
      </c>
      <c r="D52" s="8">
        <f>IF(B52=0,0,C52/B52)</f>
        <v/>
      </c>
    </row>
    <row r="53">
      <c r="A53" s="6" t="inlineStr">
        <is>
          <t>autos.udn.com</t>
        </is>
      </c>
      <c r="B53" s="7" t="n">
        <v>542</v>
      </c>
      <c r="C53" s="7" t="n">
        <v>3</v>
      </c>
      <c r="D53" s="8">
        <f>IF(B53=0,0,C53/B53)</f>
        <v/>
      </c>
    </row>
    <row r="54">
      <c r="A54" s="6" t="inlineStr">
        <is>
          <t>sundaykiss.com</t>
        </is>
      </c>
      <c r="B54" s="7" t="n">
        <v>185</v>
      </c>
      <c r="C54" s="7" t="n">
        <v>1</v>
      </c>
      <c r="D54" s="8">
        <f>IF(B54=0,0,C54/B54)</f>
        <v/>
      </c>
    </row>
    <row r="55">
      <c r="A55" s="6" t="inlineStr">
        <is>
          <t>cherry123.com</t>
        </is>
      </c>
      <c r="B55" s="7" t="n">
        <v>417</v>
      </c>
      <c r="C55" s="7" t="n">
        <v>2</v>
      </c>
      <c r="D55" s="8">
        <f>IF(B55=0,0,C55/B55)</f>
        <v/>
      </c>
    </row>
    <row r="56">
      <c r="A56" s="6" t="inlineStr">
        <is>
          <t>techbang.com</t>
        </is>
      </c>
      <c r="B56" s="7" t="n">
        <v>295</v>
      </c>
      <c r="C56" s="7" t="n">
        <v>3</v>
      </c>
      <c r="D56" s="8">
        <f>IF(B56=0,0,C56/B56)</f>
        <v/>
      </c>
    </row>
    <row r="57">
      <c r="A57" s="6" t="inlineStr">
        <is>
          <t>presslogic.com</t>
        </is>
      </c>
      <c r="B57" s="7" t="n">
        <v>63</v>
      </c>
      <c r="C57" s="7" t="n">
        <v>0</v>
      </c>
      <c r="D57" s="8">
        <f>IF(B57=0,0,C57/B57)</f>
        <v/>
      </c>
    </row>
    <row r="58">
      <c r="A58" s="6" t="inlineStr">
        <is>
          <t>tripadvisor.com.hk</t>
        </is>
      </c>
      <c r="B58" s="7" t="n">
        <v>483</v>
      </c>
      <c r="C58" s="7" t="n">
        <v>2</v>
      </c>
      <c r="D58" s="8">
        <f>IF(B58=0,0,C58/B58)</f>
        <v/>
      </c>
    </row>
    <row r="59">
      <c r="A59" s="6" t="inlineStr">
        <is>
          <t>woman.udn.com</t>
        </is>
      </c>
      <c r="B59" s="7" t="n">
        <v>350</v>
      </c>
      <c r="C59" s="7" t="n">
        <v>3</v>
      </c>
      <c r="D59" s="8">
        <f>IF(B59=0,0,C59/B59)</f>
        <v/>
      </c>
    </row>
    <row r="60">
      <c r="A60" s="6" t="inlineStr">
        <is>
          <t>LIHKG 討論區 - Android (com.lihkg.app)</t>
        </is>
      </c>
      <c r="B60" s="7" t="n">
        <v>38</v>
      </c>
      <c r="C60" s="7" t="n">
        <v>0</v>
      </c>
      <c r="D60" s="8">
        <f>IF(B60=0,0,C60/B60)</f>
        <v/>
      </c>
    </row>
    <row r="61">
      <c r="A61" s="6" t="inlineStr">
        <is>
          <t>hk.on.cc</t>
        </is>
      </c>
      <c r="B61" s="7" t="n">
        <v>433</v>
      </c>
      <c r="C61" s="7" t="n">
        <v>3</v>
      </c>
      <c r="D61" s="8">
        <f>IF(B61=0,0,C61/B61)</f>
        <v/>
      </c>
    </row>
    <row r="62">
      <c r="A62" s="6" t="inlineStr">
        <is>
          <t>AAStocks M-Winner - Android (com.aastocks.dzh)</t>
        </is>
      </c>
      <c r="B62" s="7" t="n">
        <v>286</v>
      </c>
      <c r="C62" s="7" t="n">
        <v>2</v>
      </c>
      <c r="D62" s="8">
        <f>IF(B62=0,0,C62/B62)</f>
        <v/>
      </c>
    </row>
    <row r="63">
      <c r="A63" s="6" t="inlineStr">
        <is>
          <t>thestandnews.com</t>
        </is>
      </c>
      <c r="B63" s="7" t="n">
        <v>80</v>
      </c>
      <c r="C63" s="7" t="n">
        <v>0</v>
      </c>
      <c r="D63" s="8">
        <f>IF(B63=0,0,C63/B63)</f>
        <v/>
      </c>
    </row>
    <row r="64">
      <c r="A64" s="6" t="inlineStr">
        <is>
          <t>unwire.hk</t>
        </is>
      </c>
      <c r="B64" s="7" t="n">
        <v>139</v>
      </c>
      <c r="C64" s="7" t="n">
        <v>0</v>
      </c>
      <c r="D64" s="8">
        <f>IF(B64=0,0,C64/B64)</f>
        <v/>
      </c>
    </row>
    <row r="65">
      <c r="A65" s="6" t="inlineStr">
        <is>
          <t>news.hket.com</t>
        </is>
      </c>
      <c r="B65" s="7" t="n">
        <v>461</v>
      </c>
      <c r="C65" s="7" t="n">
        <v>3</v>
      </c>
      <c r="D65" s="8">
        <f>IF(B65=0,0,C65/B65)</f>
        <v/>
      </c>
    </row>
    <row r="66">
      <c r="A66" s="6" t="inlineStr">
        <is>
          <t>Price.com.hk 香港格價網 - iOS (455201798)</t>
        </is>
      </c>
      <c r="B66" s="7" t="n">
        <v>300</v>
      </c>
      <c r="C66" s="7" t="n">
        <v>1</v>
      </c>
      <c r="D66" s="8">
        <f>IF(B66=0,0,C66/B66)</f>
        <v/>
      </c>
    </row>
    <row r="67">
      <c r="A67" s="6" t="inlineStr">
        <is>
          <t>on.cc</t>
        </is>
      </c>
      <c r="B67" s="7" t="n">
        <v>395</v>
      </c>
      <c r="C67" s="7" t="n">
        <v>2</v>
      </c>
      <c r="D67" s="8">
        <f>IF(B67=0,0,C67/B67)</f>
        <v/>
      </c>
    </row>
    <row r="68">
      <c r="A68" s="6" t="inlineStr">
        <is>
          <t>tastymoney.hk</t>
        </is>
      </c>
      <c r="B68" s="7" t="n">
        <v>181</v>
      </c>
      <c r="C68" s="7" t="n">
        <v>3</v>
      </c>
      <c r="D68" s="8">
        <f>IF(B68=0,0,C68/B68)</f>
        <v/>
      </c>
    </row>
    <row r="69">
      <c r="A69" s="6" t="inlineStr">
        <is>
          <t>LIHKG 討論區 - iOS (1178373396)</t>
        </is>
      </c>
      <c r="B69" s="7" t="n">
        <v>361</v>
      </c>
      <c r="C69" s="7" t="n">
        <v>2</v>
      </c>
      <c r="D69" s="8">
        <f>IF(B69=0,0,C69/B69)</f>
        <v/>
      </c>
    </row>
    <row r="70">
      <c r="A70" s="6" t="inlineStr">
        <is>
          <t>blog.ulifestyle.com.hk</t>
        </is>
      </c>
      <c r="B70" s="7" t="n">
        <v>385</v>
      </c>
      <c r="C70" s="7" t="n">
        <v>3</v>
      </c>
      <c r="D70" s="8">
        <f>IF(B70=0,0,C70/B70)</f>
        <v/>
      </c>
    </row>
    <row r="71">
      <c r="A71" s="6" t="inlineStr">
        <is>
          <t>orientalsunday.hk</t>
        </is>
      </c>
      <c r="B71" s="7" t="n">
        <v>329</v>
      </c>
      <c r="C71" s="7" t="n">
        <v>2</v>
      </c>
      <c r="D71" s="8">
        <f>IF(B71=0,0,C71/B71)</f>
        <v/>
      </c>
    </row>
    <row r="72">
      <c r="A72" s="6" t="inlineStr">
        <is>
          <t>hkepc.com</t>
        </is>
      </c>
      <c r="B72" s="7" t="n">
        <v>208</v>
      </c>
      <c r="C72" s="7" t="n">
        <v>1</v>
      </c>
      <c r="D72" s="8">
        <f>IF(B72=0,0,C72/B72)</f>
        <v/>
      </c>
    </row>
    <row r="73">
      <c r="A73" s="6" t="inlineStr">
        <is>
          <t>自由時報 - iOS (1060983848)</t>
        </is>
      </c>
      <c r="B73" s="7" t="n">
        <v>335</v>
      </c>
      <c r="C73" s="7" t="n">
        <v>2</v>
      </c>
      <c r="D73" s="8">
        <f>IF(B73=0,0,C73/B73)</f>
        <v/>
      </c>
    </row>
    <row r="74">
      <c r="A74" s="6" t="inlineStr">
        <is>
          <t>news.mingpao.com</t>
        </is>
      </c>
      <c r="B74" s="7" t="n">
        <v>171</v>
      </c>
      <c r="C74" s="7" t="n">
        <v>0</v>
      </c>
      <c r="D74" s="8">
        <f>IF(B74=0,0,C74/B74)</f>
        <v/>
      </c>
    </row>
    <row r="75">
      <c r="A75" s="6" t="inlineStr">
        <is>
          <t>ptttube.com</t>
        </is>
      </c>
      <c r="B75" s="7" t="n">
        <v>124</v>
      </c>
      <c r="C75" s="7" t="n">
        <v>0</v>
      </c>
      <c r="D75" s="8">
        <f>IF(B75=0,0,C75/B75)</f>
        <v/>
      </c>
    </row>
    <row r="76">
      <c r="A76" s="6" t="inlineStr">
        <is>
          <t>stheadline.com</t>
        </is>
      </c>
      <c r="B76" s="7" t="n">
        <v>513</v>
      </c>
      <c r="C76" s="7" t="n">
        <v>3</v>
      </c>
      <c r="D76" s="8">
        <f>IF(B76=0,0,C76/B76)</f>
        <v/>
      </c>
    </row>
    <row r="77">
      <c r="A77" s="6" t="inlineStr">
        <is>
          <t>HK Radio 香港收音機 - 香港電台 - Android (com.likelylabs.hkradio)</t>
        </is>
      </c>
      <c r="B77" s="7" t="n">
        <v>56</v>
      </c>
      <c r="C77" s="7" t="n">
        <v>0</v>
      </c>
      <c r="D77" s="8">
        <f>IF(B77=0,0,C77/B77)</f>
        <v/>
      </c>
    </row>
    <row r="78">
      <c r="A78" s="6" t="inlineStr">
        <is>
          <t>fanpiece.com</t>
        </is>
      </c>
      <c r="B78" s="7" t="n">
        <v>236</v>
      </c>
      <c r="C78" s="7" t="n">
        <v>1</v>
      </c>
      <c r="D78" s="8">
        <f>IF(B78=0,0,C78/B78)</f>
        <v/>
      </c>
    </row>
    <row r="79">
      <c r="A79" s="6" t="inlineStr">
        <is>
          <t>christinesrecipes.com</t>
        </is>
      </c>
      <c r="B79" s="7" t="n">
        <v>11</v>
      </c>
      <c r="C79" s="7" t="n">
        <v>0</v>
      </c>
      <c r="D79" s="8">
        <f>IF(B79=0,0,C79/B79)</f>
        <v/>
      </c>
    </row>
    <row r="80">
      <c r="A80" s="6" t="inlineStr">
        <is>
          <t>millionbook.net</t>
        </is>
      </c>
      <c r="B80" s="7" t="n">
        <v>102</v>
      </c>
      <c r="C80" s="7" t="n">
        <v>0</v>
      </c>
      <c r="D80" s="8">
        <f>IF(B80=0,0,C80/B80)</f>
        <v/>
      </c>
    </row>
    <row r="81">
      <c r="A81" s="6" t="inlineStr">
        <is>
          <t>beautyexchange.com.hk</t>
        </is>
      </c>
      <c r="B81" s="7" t="n">
        <v>425</v>
      </c>
      <c r="C81" s="7" t="n">
        <v>3</v>
      </c>
      <c r="D81" s="8">
        <f>IF(B81=0,0,C81/B81)</f>
        <v/>
      </c>
    </row>
    <row r="82">
      <c r="A82" s="6" t="inlineStr">
        <is>
          <t>hjwzw.com</t>
        </is>
      </c>
      <c r="B82" s="7" t="n">
        <v>312</v>
      </c>
      <c r="C82" s="7" t="n">
        <v>2</v>
      </c>
      <c r="D82" s="8">
        <f>IF(B82=0,0,C82/B82)</f>
        <v/>
      </c>
    </row>
    <row r="83">
      <c r="A83" s="6" t="inlineStr">
        <is>
          <t>udn.com</t>
        </is>
      </c>
      <c r="B83" s="7" t="n">
        <v>446</v>
      </c>
      <c r="C83" s="7" t="n">
        <v>3</v>
      </c>
      <c r="D83" s="8">
        <f>IF(B83=0,0,C83/B83)</f>
        <v/>
      </c>
    </row>
    <row r="84">
      <c r="A84" s="6" t="inlineStr">
        <is>
          <t>cnyes.com</t>
        </is>
      </c>
      <c r="B84" s="7" t="n">
        <v>64</v>
      </c>
      <c r="C84" s="7" t="n">
        <v>0</v>
      </c>
      <c r="D84" s="8">
        <f>IF(B84=0,0,C84/B84)</f>
        <v/>
      </c>
    </row>
    <row r="85">
      <c r="A85" s="6" t="inlineStr">
        <is>
          <t>discuss.com.hk</t>
        </is>
      </c>
      <c r="B85" s="7" t="n">
        <v>223</v>
      </c>
      <c r="C85" s="7" t="n">
        <v>1</v>
      </c>
      <c r="D85" s="8">
        <f>IF(B85=0,0,C85/B85)</f>
        <v/>
      </c>
    </row>
    <row r="86">
      <c r="A86" s="6" t="inlineStr">
        <is>
          <t>stars.udn.com</t>
        </is>
      </c>
      <c r="B86" s="7" t="n">
        <v>149</v>
      </c>
      <c r="C86" s="7" t="n">
        <v>0</v>
      </c>
      <c r="D86" s="8">
        <f>IF(B86=0,0,C86/B86)</f>
        <v/>
      </c>
    </row>
    <row r="87">
      <c r="A87" s="6" t="inlineStr">
        <is>
          <t>beauty321.com</t>
        </is>
      </c>
      <c r="B87" s="7" t="n">
        <v>121</v>
      </c>
      <c r="C87" s="7" t="n">
        <v>0</v>
      </c>
      <c r="D87" s="8">
        <f>IF(B87=0,0,C87/B87)</f>
        <v/>
      </c>
    </row>
    <row r="88">
      <c r="A88" s="6" t="inlineStr">
        <is>
          <t>passiontimes.hk</t>
        </is>
      </c>
      <c r="B88" s="7" t="n">
        <v>160</v>
      </c>
      <c r="C88" s="7" t="n">
        <v>0</v>
      </c>
      <c r="D88" s="8">
        <f>IF(B88=0,0,C88/B88)</f>
        <v/>
      </c>
    </row>
    <row r="89">
      <c r="A89" s="6" t="inlineStr">
        <is>
          <t>haoyunmyt.com</t>
        </is>
      </c>
      <c r="B89" s="7" t="n">
        <v>89</v>
      </c>
      <c r="C89" s="7" t="n">
        <v>0</v>
      </c>
      <c r="D89" s="8">
        <f>IF(B89=0,0,C89/B89)</f>
        <v/>
      </c>
    </row>
    <row r="90">
      <c r="A90" s="6" t="inlineStr">
        <is>
          <t>entertainment14.net</t>
        </is>
      </c>
      <c r="B90" s="7" t="n">
        <v>96</v>
      </c>
      <c r="C90" s="7" t="n">
        <v>0</v>
      </c>
      <c r="D90" s="8">
        <f>IF(B90=0,0,C90/B90)</f>
        <v/>
      </c>
    </row>
    <row r="91">
      <c r="A91" s="6" t="inlineStr">
        <is>
          <t>HK Radio 香港收音機 - Chinese Radio - iOS (1248884143)</t>
        </is>
      </c>
      <c r="B91" s="7" t="n">
        <v>106</v>
      </c>
      <c r="C91" s="7" t="n">
        <v>0</v>
      </c>
      <c r="D91" s="8">
        <f>IF(B91=0,0,C91/B91)</f>
        <v/>
      </c>
    </row>
    <row r="92">
      <c r="A92" s="6" t="inlineStr">
        <is>
          <t>etnet 財經·生活 經濟通 - iOS (366919933)</t>
        </is>
      </c>
      <c r="B92" s="7" t="n">
        <v>143</v>
      </c>
      <c r="C92" s="7" t="n">
        <v>0</v>
      </c>
      <c r="D92" s="8">
        <f>IF(B92=0,0,C92/B92)</f>
        <v/>
      </c>
    </row>
    <row r="93">
      <c r="A93" s="6" t="inlineStr">
        <is>
          <t>cosmopolitan.com.hk</t>
        </is>
      </c>
      <c r="B93" s="7" t="n">
        <v>53</v>
      </c>
      <c r="C93" s="7" t="n">
        <v>0</v>
      </c>
      <c r="D93" s="8">
        <f>IF(B93=0,0,C93/B93)</f>
        <v/>
      </c>
    </row>
    <row r="94">
      <c r="A94" s="6" t="inlineStr">
        <is>
          <t>finance.now.com</t>
        </is>
      </c>
      <c r="B94" s="7" t="n">
        <v>111</v>
      </c>
      <c r="C94" s="7" t="n">
        <v>0</v>
      </c>
      <c r="D94" s="8">
        <f>IF(B94=0,0,C94/B94)</f>
        <v/>
      </c>
    </row>
    <row r="95">
      <c r="A95" s="6" t="inlineStr">
        <is>
          <t>buzzorange.com</t>
        </is>
      </c>
      <c r="B95" s="7" t="n">
        <v>103</v>
      </c>
      <c r="C95" s="7" t="n">
        <v>0</v>
      </c>
      <c r="D95" s="8">
        <f>IF(B95=0,0,C95/B95)</f>
        <v/>
      </c>
    </row>
    <row r="96">
      <c r="A96" s="6" t="inlineStr">
        <is>
          <t>mirrormedia.mg</t>
        </is>
      </c>
      <c r="B96" s="7" t="n">
        <v>151</v>
      </c>
      <c r="C96" s="7" t="n">
        <v>0</v>
      </c>
      <c r="D96" s="8">
        <f>IF(B96=0,0,C96/B96)</f>
        <v/>
      </c>
    </row>
    <row r="97">
      <c r="A97" s="6" t="inlineStr">
        <is>
          <t>gotrip.hk</t>
        </is>
      </c>
      <c r="B97" s="7" t="n">
        <v>178</v>
      </c>
      <c r="C97" s="7" t="n">
        <v>0</v>
      </c>
      <c r="D97" s="8">
        <f>IF(B97=0,0,C97/B97)</f>
        <v/>
      </c>
    </row>
    <row r="98">
      <c r="A98" s="6" t="inlineStr">
        <is>
          <t>aastocks.com</t>
        </is>
      </c>
      <c r="B98" s="7" t="n">
        <v>158</v>
      </c>
      <c r="C98" s="7" t="n">
        <v>0</v>
      </c>
      <c r="D98" s="8">
        <f>IF(B98=0,0,C98/B98)</f>
        <v/>
      </c>
    </row>
    <row r="99">
      <c r="A99" s="6" t="inlineStr">
        <is>
          <t>香港01 - iOS (1084662006)</t>
        </is>
      </c>
      <c r="B99" s="7" t="n">
        <v>20</v>
      </c>
      <c r="C99" s="7" t="n">
        <v>0</v>
      </c>
      <c r="D99" s="8">
        <f>IF(B99=0,0,C99/B99)</f>
        <v/>
      </c>
    </row>
    <row r="100">
      <c r="A100" s="6" t="inlineStr">
        <is>
          <t>ol.mingpao.com</t>
        </is>
      </c>
      <c r="B100" s="7" t="n">
        <v>137</v>
      </c>
      <c r="C100" s="7" t="n">
        <v>0</v>
      </c>
      <c r="D100" s="8">
        <f>IF(B100=0,0,C100/B100)</f>
        <v/>
      </c>
    </row>
    <row r="101">
      <c r="A101" s="6" t="inlineStr">
        <is>
          <t>teepr.com</t>
        </is>
      </c>
      <c r="B101" s="7" t="n">
        <v>10</v>
      </c>
      <c r="C101" s="7" t="n">
        <v>0</v>
      </c>
      <c r="D101" s="8">
        <f>IF(B101=0,0,C101/B101)</f>
        <v/>
      </c>
    </row>
    <row r="102">
      <c r="A102" s="6" t="inlineStr">
        <is>
          <t>香討 - Android (networld.discuss2.app)</t>
        </is>
      </c>
      <c r="B102" s="7" t="n">
        <v>52</v>
      </c>
      <c r="C102" s="7" t="n">
        <v>0</v>
      </c>
      <c r="D102" s="8">
        <f>IF(B102=0,0,C102/B102)</f>
        <v/>
      </c>
    </row>
    <row r="103">
      <c r="A103" s="6" t="inlineStr">
        <is>
          <t>ettoday.net</t>
        </is>
      </c>
      <c r="B103" s="7" t="n">
        <v>120</v>
      </c>
      <c r="C103" s="7" t="n">
        <v>0</v>
      </c>
      <c r="D103" s="8">
        <f>IF(B103=0,0,C103/B103)</f>
        <v/>
      </c>
    </row>
    <row r="104">
      <c r="A104" s="6" t="inlineStr">
        <is>
          <t>newmobilelife.com</t>
        </is>
      </c>
      <c r="B104" s="7" t="n">
        <v>31</v>
      </c>
      <c r="C104" s="7" t="n">
        <v>0</v>
      </c>
      <c r="D104" s="8">
        <f>IF(B104=0,0,C104/B104)</f>
        <v/>
      </c>
    </row>
    <row r="105">
      <c r="A105" s="6" t="inlineStr">
        <is>
          <t>money18.on.cc</t>
        </is>
      </c>
      <c r="B105" s="7" t="n">
        <v>33</v>
      </c>
      <c r="C105" s="7" t="n">
        <v>0</v>
      </c>
      <c r="D105" s="8">
        <f>IF(B105=0,0,C105/B105)</f>
        <v/>
      </c>
    </row>
    <row r="106">
      <c r="A106" s="6" t="inlineStr">
        <is>
          <t>travel.udn.com</t>
        </is>
      </c>
      <c r="B106" s="7" t="n">
        <v>148</v>
      </c>
      <c r="C106" s="7" t="n">
        <v>0</v>
      </c>
      <c r="D106" s="8">
        <f>IF(B106=0,0,C106/B106)</f>
        <v/>
      </c>
    </row>
    <row r="107">
      <c r="A107" s="6" t="inlineStr">
        <is>
          <t>東網港澳 - Android (com.news.on)</t>
        </is>
      </c>
      <c r="B107" s="7" t="n">
        <v>212</v>
      </c>
      <c r="C107" s="7" t="n">
        <v>1</v>
      </c>
      <c r="D107" s="8">
        <f>IF(B107=0,0,C107/B107)</f>
        <v/>
      </c>
    </row>
    <row r="108">
      <c r="A108" s="6" t="inlineStr">
        <is>
          <t>elle.com.hk</t>
        </is>
      </c>
      <c r="B108" s="7" t="n">
        <v>46</v>
      </c>
      <c r="C108" s="7" t="n">
        <v>0</v>
      </c>
      <c r="D108" s="8">
        <f>IF(B108=0,0,C108/B108)</f>
        <v/>
      </c>
    </row>
    <row r="109">
      <c r="A109" s="6" t="inlineStr">
        <is>
          <t>dcfever.com</t>
        </is>
      </c>
      <c r="B109" s="7" t="n">
        <v>78</v>
      </c>
      <c r="C109" s="7" t="n">
        <v>0</v>
      </c>
      <c r="D109" s="8">
        <f>IF(B109=0,0,C109/B109)</f>
        <v/>
      </c>
    </row>
    <row r="110">
      <c r="A110" s="6" t="inlineStr">
        <is>
          <t>price.com.hk</t>
        </is>
      </c>
      <c r="B110" s="7" t="n">
        <v>123</v>
      </c>
      <c r="C110" s="7" t="n">
        <v>0</v>
      </c>
      <c r="D110" s="8">
        <f>IF(B110=0,0,C110/B110)</f>
        <v/>
      </c>
    </row>
    <row r="111">
      <c r="A111" s="6" t="inlineStr">
        <is>
          <t>香港01 - 新聞資訊及生活服務 - Android (com.hk01.news_app)</t>
        </is>
      </c>
      <c r="B111" s="7" t="n">
        <v>112</v>
      </c>
      <c r="C111" s="7" t="n">
        <v>0</v>
      </c>
      <c r="D111" s="8">
        <f>IF(B111=0,0,C111/B111)</f>
        <v/>
      </c>
    </row>
    <row r="112">
      <c r="A112" s="6" t="inlineStr">
        <is>
          <t>hk01.com</t>
        </is>
      </c>
      <c r="B112" s="7" t="n">
        <v>21</v>
      </c>
      <c r="C112" s="7" t="n">
        <v>0</v>
      </c>
      <c r="D112" s="8">
        <f>IF(B112=0,0,C112/B112)</f>
        <v/>
      </c>
    </row>
    <row r="113">
      <c r="A113" s="6" t="inlineStr">
        <is>
          <t>ulifestyle.com.hk</t>
        </is>
      </c>
      <c r="B113" s="7" t="n">
        <v>113</v>
      </c>
      <c r="C113" s="7" t="n">
        <v>0</v>
      </c>
      <c r="D113" s="8">
        <f>IF(B113=0,0,C113/B113)</f>
        <v/>
      </c>
    </row>
    <row r="114">
      <c r="A114" s="6" t="inlineStr">
        <is>
          <t>udn News - iOS (370132213)</t>
        </is>
      </c>
      <c r="B114" s="7" t="n">
        <v>126</v>
      </c>
      <c r="C114" s="7" t="n">
        <v>0</v>
      </c>
      <c r="D114" s="8">
        <f>IF(B114=0,0,C114/B114)</f>
        <v/>
      </c>
    </row>
    <row r="115">
      <c r="A115" s="6" t="inlineStr">
        <is>
          <t>am730 - Android (am730.legato.com.am730)</t>
        </is>
      </c>
      <c r="B115" s="7" t="n">
        <v>70</v>
      </c>
      <c r="C115" s="7" t="n">
        <v>0</v>
      </c>
      <c r="D115" s="8">
        <f>IF(B115=0,0,C115/B115)</f>
        <v/>
      </c>
    </row>
    <row r="116">
      <c r="A116" s="6" t="inlineStr">
        <is>
          <t>metroradio.com.hk</t>
        </is>
      </c>
      <c r="B116" s="7" t="n">
        <v>26</v>
      </c>
      <c r="C116" s="7" t="n">
        <v>0</v>
      </c>
      <c r="D116" s="8">
        <f>IF(B116=0,0,C116/B116)</f>
        <v/>
      </c>
    </row>
    <row r="117">
      <c r="A117" s="6" t="inlineStr">
        <is>
          <t>東網港澳 - iPhone Edition - iOS (349812998)</t>
        </is>
      </c>
      <c r="B117" s="7" t="n">
        <v>35</v>
      </c>
      <c r="C117" s="7" t="n">
        <v>0</v>
      </c>
      <c r="D117" s="8">
        <f>IF(B117=0,0,C117/B117)</f>
        <v/>
      </c>
    </row>
    <row r="118">
      <c r="A118" s="6" t="inlineStr">
        <is>
          <t>udn News (聯合新聞網) - Android (com.udn.news)</t>
        </is>
      </c>
      <c r="B118" s="7" t="n">
        <v>91</v>
      </c>
      <c r="C118" s="7" t="n">
        <v>0</v>
      </c>
      <c r="D118" s="8">
        <f>IF(B118=0,0,C118/B118)</f>
        <v/>
      </c>
    </row>
    <row r="119">
      <c r="A119" s="6" t="inlineStr">
        <is>
          <t>am730 - 香港即時新聞、生活資訊、財經地產及專欄 - iOS (350544669)</t>
        </is>
      </c>
      <c r="B119" s="7" t="n">
        <v>177</v>
      </c>
      <c r="C119" s="7" t="n">
        <v>0</v>
      </c>
      <c r="D119" s="8">
        <f>IF(B119=0,0,C119/B119)</f>
        <v/>
      </c>
    </row>
    <row r="120">
      <c r="A120" s="6" t="inlineStr">
        <is>
          <t>經濟通 強化版MQ(手機) -免費即時股票期指- etnet - Android (com.etnet.android.iq)</t>
        </is>
      </c>
      <c r="B120" s="7" t="n">
        <v>60</v>
      </c>
      <c r="C120" s="7" t="n">
        <v>0</v>
      </c>
      <c r="D120" s="8">
        <f>IF(B120=0,0,C120/B120)</f>
        <v/>
      </c>
    </row>
    <row r="121">
      <c r="A121" s="6" t="inlineStr">
        <is>
          <t>thekdaily.com</t>
        </is>
      </c>
      <c r="B121" s="7" t="n">
        <v>45</v>
      </c>
      <c r="C121" s="7" t="n">
        <v>0</v>
      </c>
      <c r="D121" s="8">
        <f>IF(B121=0,0,C121/B121)</f>
        <v/>
      </c>
    </row>
    <row r="122">
      <c r="A122" s="6" t="inlineStr">
        <is>
          <t>hellas-now.com</t>
        </is>
      </c>
      <c r="B122" s="7" t="n">
        <v>28</v>
      </c>
      <c r="C122" s="7" t="n">
        <v>0</v>
      </c>
      <c r="D122" s="8">
        <f>IF(B122=0,0,C122/B122)</f>
        <v/>
      </c>
    </row>
    <row r="123">
      <c r="A123" s="6" t="inlineStr">
        <is>
          <t>mgyqw.com</t>
        </is>
      </c>
      <c r="B123" s="7" t="n">
        <v>17</v>
      </c>
      <c r="C123" s="7" t="n">
        <v>0</v>
      </c>
      <c r="D123" s="8">
        <f>IF(B123=0,0,C123/B123)</f>
        <v/>
      </c>
    </row>
    <row r="124">
      <c r="A124" s="6" t="inlineStr">
        <is>
          <t>mamaclub.com</t>
        </is>
      </c>
      <c r="B124" s="7" t="n">
        <v>174</v>
      </c>
      <c r="C124" s="7" t="n">
        <v>0</v>
      </c>
      <c r="D124" s="8">
        <f>IF(B124=0,0,C124/B124)</f>
        <v/>
      </c>
    </row>
    <row r="125">
      <c r="A125" s="4" t="inlineStr">
        <is>
          <t>Grand Total</t>
        </is>
      </c>
      <c r="B125" s="4">
        <f>SUM(B2:B124)</f>
        <v/>
      </c>
      <c r="C125" s="4">
        <f>SUM(C2:C124)</f>
        <v/>
      </c>
      <c r="D125" s="5">
        <f>IF(B125=0,0,C125/B125)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24" customWidth="1" min="4" max="4"/>
  </cols>
  <sheetData>
    <row r="1" ht="14.5" customHeight="1">
      <c r="A1" s="1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6" t="n">
        <v>0</v>
      </c>
      <c r="B2" s="7" t="n">
        <v>741</v>
      </c>
      <c r="C2" s="7" t="n">
        <v>4</v>
      </c>
      <c r="D2" s="8">
        <f>IF(B2=0,0,C2/B2)</f>
        <v/>
      </c>
    </row>
    <row r="3">
      <c r="A3" s="6" t="n">
        <v>1</v>
      </c>
      <c r="B3" s="7" t="n">
        <v>552</v>
      </c>
      <c r="C3" s="7" t="n">
        <v>5</v>
      </c>
      <c r="D3" s="8">
        <f>IF(B3=0,0,C3/B3)</f>
        <v/>
      </c>
    </row>
    <row r="4">
      <c r="A4" s="6" t="n">
        <v>2</v>
      </c>
      <c r="B4" s="7" t="n">
        <v>497</v>
      </c>
      <c r="C4" s="7" t="n">
        <v>2</v>
      </c>
      <c r="D4" s="8">
        <f>IF(B4=0,0,C4/B4)</f>
        <v/>
      </c>
    </row>
    <row r="5">
      <c r="A5" s="6" t="n">
        <v>3</v>
      </c>
      <c r="B5" s="7" t="n">
        <v>488</v>
      </c>
      <c r="C5" s="7" t="n">
        <v>8</v>
      </c>
      <c r="D5" s="8">
        <f>IF(B5=0,0,C5/B5)</f>
        <v/>
      </c>
    </row>
    <row r="6">
      <c r="A6" s="6" t="n">
        <v>4</v>
      </c>
      <c r="B6" s="7" t="n">
        <v>496</v>
      </c>
      <c r="C6" s="7" t="n">
        <v>2</v>
      </c>
      <c r="D6" s="8">
        <f>IF(B6=0,0,C6/B6)</f>
        <v/>
      </c>
    </row>
    <row r="7">
      <c r="A7" s="6" t="n">
        <v>5</v>
      </c>
      <c r="B7" s="7" t="n">
        <v>1003</v>
      </c>
      <c r="C7" s="7" t="n">
        <v>5</v>
      </c>
      <c r="D7" s="8">
        <f>IF(B7=0,0,C7/B7)</f>
        <v/>
      </c>
    </row>
    <row r="8">
      <c r="A8" s="6" t="n">
        <v>6</v>
      </c>
      <c r="B8" s="7" t="n">
        <v>2067</v>
      </c>
      <c r="C8" s="7" t="n">
        <v>11</v>
      </c>
      <c r="D8" s="8">
        <f>IF(B8=0,0,C8/B8)</f>
        <v/>
      </c>
    </row>
    <row r="9">
      <c r="A9" s="6" t="n">
        <v>7</v>
      </c>
      <c r="B9" s="7" t="n">
        <v>2435</v>
      </c>
      <c r="C9" s="7" t="n">
        <v>10</v>
      </c>
      <c r="D9" s="8">
        <f>IF(B9=0,0,C9/B9)</f>
        <v/>
      </c>
    </row>
    <row r="10">
      <c r="A10" s="6" t="n">
        <v>8</v>
      </c>
      <c r="B10" s="7" t="n">
        <v>2909</v>
      </c>
      <c r="C10" s="7" t="n">
        <v>16</v>
      </c>
      <c r="D10" s="8">
        <f>IF(B10=0,0,C10/B10)</f>
        <v/>
      </c>
    </row>
    <row r="11">
      <c r="A11" s="6" t="n">
        <v>9</v>
      </c>
      <c r="B11" s="7" t="n">
        <v>3937</v>
      </c>
      <c r="C11" s="7" t="n">
        <v>15</v>
      </c>
      <c r="D11" s="8">
        <f>IF(B11=0,0,C11/B11)</f>
        <v/>
      </c>
    </row>
    <row r="12">
      <c r="A12" s="6" t="n">
        <v>10</v>
      </c>
      <c r="B12" s="7" t="n">
        <v>4045</v>
      </c>
      <c r="C12" s="7" t="n">
        <v>17</v>
      </c>
      <c r="D12" s="8">
        <f>IF(B12=0,0,C12/B12)</f>
        <v/>
      </c>
    </row>
    <row r="13">
      <c r="A13" s="6" t="n">
        <v>11</v>
      </c>
      <c r="B13" s="7" t="n">
        <v>3703</v>
      </c>
      <c r="C13" s="7" t="n">
        <v>19</v>
      </c>
      <c r="D13" s="8">
        <f>IF(B13=0,0,C13/B13)</f>
        <v/>
      </c>
    </row>
    <row r="14">
      <c r="A14" s="6" t="n">
        <v>12</v>
      </c>
      <c r="B14" s="7" t="n">
        <v>3189</v>
      </c>
      <c r="C14" s="7" t="n">
        <v>17</v>
      </c>
      <c r="D14" s="8">
        <f>IF(B14=0,0,C14/B14)</f>
        <v/>
      </c>
    </row>
    <row r="15">
      <c r="A15" s="6" t="n">
        <v>13</v>
      </c>
      <c r="B15" s="7" t="n">
        <v>3286</v>
      </c>
      <c r="C15" s="7" t="n">
        <v>18</v>
      </c>
      <c r="D15" s="8">
        <f>IF(B15=0,0,C15/B15)</f>
        <v/>
      </c>
    </row>
    <row r="16">
      <c r="A16" s="6" t="n">
        <v>14</v>
      </c>
      <c r="B16" s="7" t="n">
        <v>2818</v>
      </c>
      <c r="C16" s="7" t="n">
        <v>15</v>
      </c>
      <c r="D16" s="8">
        <f>IF(B16=0,0,C16/B16)</f>
        <v/>
      </c>
    </row>
    <row r="17">
      <c r="A17" s="6" t="n">
        <v>15</v>
      </c>
      <c r="B17" s="7" t="n">
        <v>2314</v>
      </c>
      <c r="C17" s="7" t="n">
        <v>12</v>
      </c>
      <c r="D17" s="8">
        <f>IF(B17=0,0,C17/B17)</f>
        <v/>
      </c>
    </row>
    <row r="18">
      <c r="A18" s="6" t="n">
        <v>16</v>
      </c>
      <c r="B18" s="7" t="n">
        <v>3292</v>
      </c>
      <c r="C18" s="7" t="n">
        <v>18</v>
      </c>
      <c r="D18" s="8">
        <f>IF(B18=0,0,C18/B18)</f>
        <v/>
      </c>
    </row>
    <row r="19">
      <c r="A19" s="6" t="n">
        <v>17</v>
      </c>
      <c r="B19" s="7" t="n">
        <v>3936</v>
      </c>
      <c r="C19" s="7" t="n">
        <v>22</v>
      </c>
      <c r="D19" s="8">
        <f>IF(B19=0,0,C19/B19)</f>
        <v/>
      </c>
    </row>
    <row r="20">
      <c r="A20" s="6" t="n">
        <v>18</v>
      </c>
      <c r="B20" s="7" t="n">
        <v>4422</v>
      </c>
      <c r="C20" s="7" t="n">
        <v>29</v>
      </c>
      <c r="D20" s="8">
        <f>IF(B20=0,0,C20/B20)</f>
        <v/>
      </c>
    </row>
    <row r="21">
      <c r="A21" s="6" t="n">
        <v>19</v>
      </c>
      <c r="B21" s="7" t="n">
        <v>5115</v>
      </c>
      <c r="C21" s="7" t="n">
        <v>9</v>
      </c>
      <c r="D21" s="8">
        <f>IF(B21=0,0,C21/B21)</f>
        <v/>
      </c>
    </row>
    <row r="22">
      <c r="A22" s="6" t="n">
        <v>20</v>
      </c>
      <c r="B22" s="7" t="n">
        <v>3280</v>
      </c>
      <c r="C22" s="7" t="n">
        <v>18</v>
      </c>
      <c r="D22" s="8">
        <f>IF(B22=0,0,C22/B22)</f>
        <v/>
      </c>
    </row>
    <row r="23">
      <c r="A23" s="6" t="n">
        <v>21</v>
      </c>
      <c r="B23" s="7" t="n">
        <v>2288</v>
      </c>
      <c r="C23" s="7" t="n">
        <v>12</v>
      </c>
      <c r="D23" s="8">
        <f>IF(B23=0,0,C23/B23)</f>
        <v/>
      </c>
    </row>
    <row r="24">
      <c r="A24" s="6" t="n">
        <v>22</v>
      </c>
      <c r="B24" s="7" t="n">
        <v>1956</v>
      </c>
      <c r="C24" s="7" t="n">
        <v>10</v>
      </c>
      <c r="D24" s="8">
        <f>IF(B24=0,0,C24/B24)</f>
        <v/>
      </c>
    </row>
    <row r="25">
      <c r="A25" s="6" t="n">
        <v>23</v>
      </c>
      <c r="B25" s="7" t="n">
        <v>1231</v>
      </c>
      <c r="C25" s="7" t="n">
        <v>6</v>
      </c>
      <c r="D25" s="8">
        <f>IF(B25=0,0,C25/B25)</f>
        <v/>
      </c>
    </row>
    <row r="26">
      <c r="A26" s="4" t="inlineStr">
        <is>
          <t>Grand Total</t>
        </is>
      </c>
      <c r="B26" s="4">
        <f>SUM(B2:B25)</f>
        <v/>
      </c>
      <c r="C26" s="4">
        <f>SUM(C2:C25)</f>
        <v/>
      </c>
      <c r="D26" s="5">
        <f>IF(B26=0,0,C26/B26)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24" customWidth="1" min="4" max="4"/>
  </cols>
  <sheetData>
    <row r="1" ht="14.5" customHeight="1">
      <c r="A1" s="1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6" t="inlineStr">
        <is>
          <t>Adform</t>
        </is>
      </c>
      <c r="B2" s="7" t="n">
        <v>286</v>
      </c>
      <c r="C2" s="7" t="n">
        <v>1</v>
      </c>
      <c r="D2" s="8">
        <f>IF(B2=0,0,C2/B2)</f>
        <v/>
      </c>
    </row>
    <row r="3">
      <c r="A3" s="6" t="inlineStr">
        <is>
          <t>BidSwitch</t>
        </is>
      </c>
      <c r="B3" s="7" t="n">
        <v>15584</v>
      </c>
      <c r="C3" s="7" t="n">
        <v>135</v>
      </c>
      <c r="D3" s="8">
        <f>IF(B3=0,0,C3/B3)</f>
        <v/>
      </c>
    </row>
    <row r="4">
      <c r="A4" s="6" t="inlineStr">
        <is>
          <t>Criteo Commerce Grid</t>
        </is>
      </c>
      <c r="B4" s="7" t="n">
        <v>3260</v>
      </c>
      <c r="C4" s="7" t="n">
        <v>15</v>
      </c>
      <c r="D4" s="8">
        <f>IF(B4=0,0,C4/B4)</f>
        <v/>
      </c>
    </row>
    <row r="5">
      <c r="A5" s="6" t="inlineStr">
        <is>
          <t>Epsilon Core Private Exchange</t>
        </is>
      </c>
      <c r="B5" s="7" t="n">
        <v>571</v>
      </c>
      <c r="C5" s="7" t="n">
        <v>3</v>
      </c>
      <c r="D5" s="8">
        <f>IF(B5=0,0,C5/B5)</f>
        <v/>
      </c>
    </row>
    <row r="6">
      <c r="A6" s="6" t="inlineStr">
        <is>
          <t>Equativ</t>
        </is>
      </c>
      <c r="B6" s="7" t="n">
        <v>1297</v>
      </c>
      <c r="C6" s="7" t="n">
        <v>7</v>
      </c>
      <c r="D6" s="8">
        <f>IF(B6=0,0,C6/B6)</f>
        <v/>
      </c>
    </row>
    <row r="7">
      <c r="A7" s="6" t="inlineStr">
        <is>
          <t>Google Ad Manager</t>
        </is>
      </c>
      <c r="B7" s="7" t="n">
        <v>20189</v>
      </c>
      <c r="C7" s="7" t="n">
        <v>45</v>
      </c>
      <c r="D7" s="8">
        <f>IF(B7=0,0,C7/B7)</f>
        <v/>
      </c>
    </row>
    <row r="8">
      <c r="A8" s="6" t="inlineStr">
        <is>
          <t>GumGum</t>
        </is>
      </c>
      <c r="B8" s="7" t="n">
        <v>284</v>
      </c>
      <c r="C8" s="7" t="n">
        <v>2</v>
      </c>
      <c r="D8" s="8">
        <f>IF(B8=0,0,C8/B8)</f>
        <v/>
      </c>
    </row>
    <row r="9">
      <c r="A9" s="6" t="inlineStr">
        <is>
          <t>Improve Digital</t>
        </is>
      </c>
      <c r="B9" s="7" t="n">
        <v>321</v>
      </c>
      <c r="C9" s="7" t="n">
        <v>1</v>
      </c>
      <c r="D9" s="8">
        <f>IF(B9=0,0,C9/B9)</f>
        <v/>
      </c>
    </row>
    <row r="10">
      <c r="A10" s="6" t="inlineStr">
        <is>
          <t>InMobi</t>
        </is>
      </c>
      <c r="B10" s="7" t="n">
        <v>776</v>
      </c>
      <c r="C10" s="7" t="n">
        <v>3</v>
      </c>
      <c r="D10" s="8">
        <f>IF(B10=0,0,C10/B10)</f>
        <v/>
      </c>
    </row>
    <row r="11">
      <c r="A11" s="6" t="inlineStr">
        <is>
          <t>Index Exchange</t>
        </is>
      </c>
      <c r="B11" s="7" t="n">
        <v>305</v>
      </c>
      <c r="C11" s="7" t="n">
        <v>2</v>
      </c>
      <c r="D11" s="8">
        <f>IF(B11=0,0,C11/B11)</f>
        <v/>
      </c>
    </row>
    <row r="12">
      <c r="A12" s="6" t="inlineStr">
        <is>
          <t>Kargo</t>
        </is>
      </c>
      <c r="B12" s="7" t="n">
        <v>457</v>
      </c>
      <c r="C12" s="7" t="n">
        <v>1</v>
      </c>
      <c r="D12" s="8">
        <f>IF(B12=0,0,C12/B12)</f>
        <v/>
      </c>
    </row>
    <row r="13">
      <c r="A13" s="6" t="inlineStr">
        <is>
          <t>Magnite DV+</t>
        </is>
      </c>
      <c r="B13" s="7" t="n">
        <v>4994</v>
      </c>
      <c r="C13" s="7" t="n">
        <v>29</v>
      </c>
      <c r="D13" s="8">
        <f>IF(B13=0,0,C13/B13)</f>
        <v/>
      </c>
    </row>
    <row r="14">
      <c r="A14" s="6" t="inlineStr">
        <is>
          <t>Media.net</t>
        </is>
      </c>
      <c r="B14" s="7" t="n">
        <v>175</v>
      </c>
      <c r="C14" s="7" t="n">
        <v>0</v>
      </c>
      <c r="D14" s="8">
        <f>IF(B14=0,0,C14/B14)</f>
        <v/>
      </c>
    </row>
    <row r="15">
      <c r="A15" s="6" t="inlineStr">
        <is>
          <t>Microsoft Monetize</t>
        </is>
      </c>
      <c r="B15" s="7" t="n">
        <v>1025</v>
      </c>
      <c r="C15" s="7" t="n">
        <v>4</v>
      </c>
      <c r="D15" s="8">
        <f>IF(B15=0,0,C15/B15)</f>
        <v/>
      </c>
    </row>
    <row r="16">
      <c r="A16" s="6" t="inlineStr">
        <is>
          <t>Nexxen (fka Unruly)</t>
        </is>
      </c>
      <c r="B16" s="7" t="n">
        <v>96</v>
      </c>
      <c r="C16" s="7" t="n">
        <v>0</v>
      </c>
      <c r="D16" s="8">
        <f>IF(B16=0,0,C16/B16)</f>
        <v/>
      </c>
    </row>
    <row r="17">
      <c r="A17" s="6" t="inlineStr">
        <is>
          <t>OpenX</t>
        </is>
      </c>
      <c r="B17" s="7" t="n">
        <v>175</v>
      </c>
      <c r="C17" s="7" t="n">
        <v>0</v>
      </c>
      <c r="D17" s="8">
        <f>IF(B17=0,0,C17/B17)</f>
        <v/>
      </c>
    </row>
    <row r="18">
      <c r="A18" s="6" t="inlineStr">
        <is>
          <t>PubMatic</t>
        </is>
      </c>
      <c r="B18" s="7" t="n">
        <v>8918</v>
      </c>
      <c r="C18" s="7" t="n">
        <v>43</v>
      </c>
      <c r="D18" s="8">
        <f>IF(B18=0,0,C18/B18)</f>
        <v/>
      </c>
    </row>
    <row r="19">
      <c r="A19" s="6" t="inlineStr">
        <is>
          <t>Sovrn</t>
        </is>
      </c>
      <c r="B19" s="7" t="n">
        <v>293</v>
      </c>
      <c r="C19" s="7" t="n">
        <v>2</v>
      </c>
      <c r="D19" s="8">
        <f>IF(B19=0,0,C19/B19)</f>
        <v/>
      </c>
    </row>
    <row r="20">
      <c r="A20" s="6" t="inlineStr">
        <is>
          <t>TeadsTv</t>
        </is>
      </c>
      <c r="B20" s="7" t="n">
        <v>229</v>
      </c>
      <c r="C20" s="7" t="n">
        <v>4</v>
      </c>
      <c r="D20" s="8">
        <f>IF(B20=0,0,C20/B20)</f>
        <v/>
      </c>
    </row>
    <row r="21">
      <c r="A21" s="6" t="inlineStr">
        <is>
          <t>TripleLift</t>
        </is>
      </c>
      <c r="B21" s="7" t="n">
        <v>144</v>
      </c>
      <c r="C21" s="7" t="n">
        <v>0</v>
      </c>
      <c r="D21" s="8">
        <f>IF(B21=0,0,C21/B21)</f>
        <v/>
      </c>
    </row>
    <row r="22">
      <c r="A22" s="6" t="inlineStr">
        <is>
          <t>Yieldmo</t>
        </is>
      </c>
      <c r="B22" s="7" t="n">
        <v>621</v>
      </c>
      <c r="C22" s="7" t="n">
        <v>3</v>
      </c>
      <c r="D22" s="8">
        <f>IF(B22=0,0,C22/B22)</f>
        <v/>
      </c>
    </row>
    <row r="23">
      <c r="A23" s="4" t="inlineStr">
        <is>
          <t>Grand Total</t>
        </is>
      </c>
      <c r="B23" s="4">
        <f>SUM(B2:B22)</f>
        <v/>
      </c>
      <c r="C23" s="4">
        <f>SUM(C2:C22)</f>
        <v/>
      </c>
      <c r="D23" s="5">
        <f>IF(B23=0,0,C23/B23)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1" customWidth="1" min="4" max="4"/>
  </cols>
  <sheetData>
    <row r="1" ht="14.5" customHeight="1">
      <c r="A1" s="1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6" t="inlineStr">
        <is>
          <t>Desktop</t>
        </is>
      </c>
      <c r="B2" s="7" t="n">
        <v>29556</v>
      </c>
      <c r="C2" s="7" t="n">
        <v>65</v>
      </c>
      <c r="D2" s="8">
        <f>IF(B2=0,0,C2/B2)</f>
        <v/>
      </c>
    </row>
    <row r="3">
      <c r="A3" s="6" t="inlineStr">
        <is>
          <t>Smart Phone</t>
        </is>
      </c>
      <c r="B3" s="7" t="n">
        <v>25455</v>
      </c>
      <c r="C3" s="7" t="n">
        <v>158</v>
      </c>
      <c r="D3" s="8">
        <f>IF(B3=0,0,C3/B3)</f>
        <v/>
      </c>
    </row>
    <row r="4">
      <c r="A4" s="6" t="inlineStr">
        <is>
          <t>Tablet</t>
        </is>
      </c>
      <c r="B4" s="7" t="n">
        <v>4989</v>
      </c>
      <c r="C4" s="7" t="n">
        <v>77</v>
      </c>
      <c r="D4" s="8">
        <f>IF(B4=0,0,C4/B4)</f>
        <v/>
      </c>
    </row>
    <row r="5">
      <c r="A5" s="4" t="inlineStr">
        <is>
          <t>Grand Total</t>
        </is>
      </c>
      <c r="B5" s="4">
        <f>SUM(B2:B4)</f>
        <v/>
      </c>
      <c r="C5" s="4">
        <f>SUM(C2:C4)</f>
        <v/>
      </c>
      <c r="D5" s="5">
        <f>IF(B5=0,0,C5/B5)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1" customWidth="1" min="4" max="4"/>
  </cols>
  <sheetData>
    <row r="1" ht="14.5" customHeight="1">
      <c r="A1" s="1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6" t="inlineStr">
        <is>
          <t>18-24</t>
        </is>
      </c>
      <c r="B2" s="7" t="n">
        <v>13391</v>
      </c>
      <c r="C2" s="7" t="n">
        <v>52</v>
      </c>
      <c r="D2" s="8">
        <f>IF(B2=0,0,C2/B2)</f>
        <v/>
      </c>
    </row>
    <row r="3">
      <c r="A3" s="6" t="inlineStr">
        <is>
          <t>25-34</t>
        </is>
      </c>
      <c r="B3" s="7" t="n">
        <v>21544</v>
      </c>
      <c r="C3" s="7" t="n">
        <v>47</v>
      </c>
      <c r="D3" s="8">
        <f>IF(B3=0,0,C3/B3)</f>
        <v/>
      </c>
    </row>
    <row r="4">
      <c r="A4" s="6" t="inlineStr">
        <is>
          <t>35-44</t>
        </is>
      </c>
      <c r="B4" s="7" t="n">
        <v>19663</v>
      </c>
      <c r="C4" s="7" t="n">
        <v>117</v>
      </c>
      <c r="D4" s="8">
        <f>IF(B4=0,0,C4/B4)</f>
        <v/>
      </c>
    </row>
    <row r="5">
      <c r="A5" s="6" t="inlineStr">
        <is>
          <t>45-54</t>
        </is>
      </c>
      <c r="B5" s="7" t="n">
        <v>5402</v>
      </c>
      <c r="C5" s="7" t="n">
        <v>84</v>
      </c>
      <c r="D5" s="8">
        <f>IF(B5=0,0,C5/B5)</f>
        <v/>
      </c>
    </row>
    <row r="6">
      <c r="A6" s="4" t="inlineStr">
        <is>
          <t>Grand Total</t>
        </is>
      </c>
      <c r="B6" s="4">
        <f>SUM(B2:B5)</f>
        <v/>
      </c>
      <c r="C6" s="4">
        <f>SUM(C2:C5)</f>
        <v/>
      </c>
      <c r="D6" s="5">
        <f>IF(B6=0,0,C6/B6)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1" customWidth="1" min="4" max="4"/>
  </cols>
  <sheetData>
    <row r="1" ht="14.5" customHeight="1">
      <c r="A1" s="1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6" t="inlineStr">
        <is>
          <t>Male</t>
        </is>
      </c>
      <c r="B2" s="7" t="n">
        <v>38683</v>
      </c>
      <c r="C2" s="7" t="n">
        <v>37</v>
      </c>
      <c r="D2" s="8">
        <f>IF(B2=0,0,C2/B2)</f>
        <v/>
      </c>
    </row>
    <row r="3">
      <c r="A3" s="6" t="inlineStr">
        <is>
          <t>Female</t>
        </is>
      </c>
      <c r="B3" s="7" t="n">
        <v>21317</v>
      </c>
      <c r="C3" s="7" t="n">
        <v>263</v>
      </c>
      <c r="D3" s="8">
        <f>IF(B3=0,0,C3/B3)</f>
        <v/>
      </c>
    </row>
    <row r="4">
      <c r="A4" s="4" t="inlineStr">
        <is>
          <t>Grand Total</t>
        </is>
      </c>
      <c r="B4" s="4">
        <f>SUM(B2:B3)</f>
        <v/>
      </c>
      <c r="C4" s="4">
        <f>SUM(C2:C3)</f>
        <v/>
      </c>
      <c r="D4" s="5">
        <f>IF(B4=0,0,C4/B4)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2026-04-22T06:39:36Z</dcterms:created>
  <dcterms:modified xmlns:dcterms="http://purl.org/dc/terms/" xmlns:xsi="http://www.w3.org/2001/XMLSchema-instance" xsi:type="dcterms:W3CDTF">2026-04-22T06:39:36Z</dcterms:modified>
</cp:coreProperties>
</file>