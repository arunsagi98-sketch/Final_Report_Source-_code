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H" sheetId="1" state="visible" r:id="rId1"/>
    <sheet name="DATE" sheetId="2" state="visible" r:id="rId2"/>
    <sheet name="APP URL" sheetId="3" state="visible" r:id="rId3"/>
    <sheet name="TIME OF DAY" sheetId="4" state="visible" r:id="rId4"/>
    <sheet name="EXCHANGE" sheetId="5" state="visible" r:id="rId5"/>
    <sheet name="DEVICE" sheetId="6" state="visible" r:id="rId6"/>
    <sheet name="CREATIVE" sheetId="7" state="visible" r:id="rId7"/>
    <sheet name="CITY" sheetId="8" state="visible" r:id="rId8"/>
    <sheet name="AGE" sheetId="9" state="visible" r:id="rId9"/>
    <sheet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21224</v>
      </c>
      <c r="B2" s="2" t="n">
        <v>106</v>
      </c>
      <c r="C2" s="3">
        <f>B2/A2</f>
        <v/>
      </c>
      <c r="D2" s="2" t="n">
        <v>7303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2" t="inlineStr">
        <is>
          <t>18 March, 2026</t>
        </is>
      </c>
      <c r="B2" s="2" t="n">
        <v>1307</v>
      </c>
      <c r="C2" s="2" t="n">
        <v>6</v>
      </c>
      <c r="D2" s="3">
        <f>C2/B2</f>
        <v/>
      </c>
      <c r="E2" s="2" t="n">
        <v>778</v>
      </c>
      <c r="F2" s="2" t="n">
        <v>1199</v>
      </c>
      <c r="G2" s="3">
        <f>E2/F2</f>
        <v/>
      </c>
    </row>
    <row r="3">
      <c r="A3" s="2" t="inlineStr">
        <is>
          <t>19 March, 2026</t>
        </is>
      </c>
      <c r="B3" s="2" t="n">
        <v>1132</v>
      </c>
      <c r="C3" s="2" t="n">
        <v>5</v>
      </c>
      <c r="D3" s="3">
        <f>C3/B3</f>
        <v/>
      </c>
      <c r="E3" s="2" t="n">
        <v>772</v>
      </c>
      <c r="F3" s="2" t="n">
        <v>1044</v>
      </c>
      <c r="G3" s="3">
        <f>E3/F3</f>
        <v/>
      </c>
    </row>
    <row r="4">
      <c r="A4" s="2" t="inlineStr">
        <is>
          <t>20 March, 2026</t>
        </is>
      </c>
      <c r="B4" s="2" t="n">
        <v>1118</v>
      </c>
      <c r="C4" s="2" t="n">
        <v>6</v>
      </c>
      <c r="D4" s="3">
        <f>C4/B4</f>
        <v/>
      </c>
      <c r="E4" s="2" t="n">
        <v>700</v>
      </c>
      <c r="F4" s="2" t="n">
        <v>1043</v>
      </c>
      <c r="G4" s="3">
        <f>E4/F4</f>
        <v/>
      </c>
    </row>
    <row r="5">
      <c r="A5" s="2" t="inlineStr">
        <is>
          <t>21 March, 2026</t>
        </is>
      </c>
      <c r="B5" s="2" t="n">
        <v>1105</v>
      </c>
      <c r="C5" s="2" t="n">
        <v>7</v>
      </c>
      <c r="D5" s="3">
        <f>C5/B5</f>
        <v/>
      </c>
      <c r="E5" s="2" t="n">
        <v>646</v>
      </c>
      <c r="F5" s="2" t="n">
        <v>1000</v>
      </c>
      <c r="G5" s="3">
        <f>E5/F5</f>
        <v/>
      </c>
    </row>
    <row r="6">
      <c r="A6" s="2" t="inlineStr">
        <is>
          <t>22 March, 2026</t>
        </is>
      </c>
      <c r="B6" s="2" t="n">
        <v>1078</v>
      </c>
      <c r="C6" s="2" t="n">
        <v>5</v>
      </c>
      <c r="D6" s="3">
        <f>C6/B6</f>
        <v/>
      </c>
      <c r="E6" s="2" t="n">
        <v>619</v>
      </c>
      <c r="F6" s="2" t="n">
        <v>1017</v>
      </c>
      <c r="G6" s="3">
        <f>E6/F6</f>
        <v/>
      </c>
    </row>
    <row r="7">
      <c r="A7" s="2" t="inlineStr">
        <is>
          <t>23 March, 2026</t>
        </is>
      </c>
      <c r="B7" s="2" t="n">
        <v>1078</v>
      </c>
      <c r="C7" s="2" t="n">
        <v>5</v>
      </c>
      <c r="D7" s="3">
        <f>C7/B7</f>
        <v/>
      </c>
      <c r="E7" s="2" t="n">
        <v>711</v>
      </c>
      <c r="F7" s="2" t="n">
        <v>998</v>
      </c>
      <c r="G7" s="3">
        <f>E7/F7</f>
        <v/>
      </c>
    </row>
    <row r="8">
      <c r="A8" s="2" t="inlineStr">
        <is>
          <t>24 March, 2026</t>
        </is>
      </c>
      <c r="B8" s="2" t="n">
        <v>1074</v>
      </c>
      <c r="C8" s="2" t="n">
        <v>7</v>
      </c>
      <c r="D8" s="3">
        <f>C8/B8</f>
        <v/>
      </c>
      <c r="E8" s="2" t="n">
        <v>708</v>
      </c>
      <c r="F8" s="2" t="n">
        <v>1015</v>
      </c>
      <c r="G8" s="3">
        <f>E8/F8</f>
        <v/>
      </c>
    </row>
    <row r="9">
      <c r="A9" s="2" t="inlineStr">
        <is>
          <t>25 March, 2026</t>
        </is>
      </c>
      <c r="B9" s="2" t="n">
        <v>1061</v>
      </c>
      <c r="C9" s="2" t="n">
        <v>5</v>
      </c>
      <c r="D9" s="3">
        <f>C9/B9</f>
        <v/>
      </c>
      <c r="E9" s="2" t="n">
        <v>620</v>
      </c>
      <c r="F9" s="2" t="n">
        <v>962</v>
      </c>
      <c r="G9" s="3">
        <f>E9/F9</f>
        <v/>
      </c>
    </row>
    <row r="10">
      <c r="A10" s="2" t="inlineStr">
        <is>
          <t>26 March, 2026</t>
        </is>
      </c>
      <c r="B10" s="2" t="n">
        <v>1047</v>
      </c>
      <c r="C10" s="2" t="n">
        <v>5</v>
      </c>
      <c r="D10" s="3">
        <f>C10/B10</f>
        <v/>
      </c>
      <c r="E10" s="2" t="n">
        <v>625</v>
      </c>
      <c r="F10" s="2" t="n">
        <v>975</v>
      </c>
      <c r="G10" s="3">
        <f>E10/F10</f>
        <v/>
      </c>
    </row>
    <row r="11">
      <c r="A11" s="2" t="inlineStr">
        <is>
          <t>27 March, 2026</t>
        </is>
      </c>
      <c r="B11" s="2" t="n">
        <v>1016</v>
      </c>
      <c r="C11" s="2" t="n">
        <v>5</v>
      </c>
      <c r="D11" s="3">
        <f>C11/B11</f>
        <v/>
      </c>
      <c r="E11" s="2" t="n">
        <v>636</v>
      </c>
      <c r="F11" s="2" t="n">
        <v>926</v>
      </c>
      <c r="G11" s="3">
        <f>E11/F11</f>
        <v/>
      </c>
    </row>
    <row r="12">
      <c r="A12" s="2" t="inlineStr">
        <is>
          <t>28 March, 2026</t>
        </is>
      </c>
      <c r="B12" s="2" t="n">
        <v>1008</v>
      </c>
      <c r="C12" s="2" t="n">
        <v>7</v>
      </c>
      <c r="D12" s="3">
        <f>C12/B12</f>
        <v/>
      </c>
      <c r="E12" s="2" t="n">
        <v>650</v>
      </c>
      <c r="F12" s="2" t="n">
        <v>942</v>
      </c>
      <c r="G12" s="3">
        <f>E12/F12</f>
        <v/>
      </c>
    </row>
    <row r="13">
      <c r="A13" s="2" t="inlineStr">
        <is>
          <t>29 March, 2026</t>
        </is>
      </c>
      <c r="B13" s="2" t="n">
        <v>989</v>
      </c>
      <c r="C13" s="2" t="n">
        <v>5</v>
      </c>
      <c r="D13" s="3">
        <f>C13/B13</f>
        <v/>
      </c>
      <c r="E13" s="2" t="n">
        <v>615</v>
      </c>
      <c r="F13" s="2" t="n">
        <v>930</v>
      </c>
      <c r="G13" s="3">
        <f>E13/F13</f>
        <v/>
      </c>
    </row>
    <row r="14">
      <c r="A14" s="2" t="inlineStr">
        <is>
          <t>30 March, 2026</t>
        </is>
      </c>
      <c r="B14" s="2" t="n">
        <v>974</v>
      </c>
      <c r="C14" s="2" t="n">
        <v>5</v>
      </c>
      <c r="D14" s="3">
        <f>C14/B14</f>
        <v/>
      </c>
      <c r="E14" s="2" t="n">
        <v>670</v>
      </c>
      <c r="F14" s="2" t="n">
        <v>905</v>
      </c>
      <c r="G14" s="3">
        <f>E14/F14</f>
        <v/>
      </c>
    </row>
    <row r="15">
      <c r="A15" s="2" t="inlineStr">
        <is>
          <t>31 March, 2026</t>
        </is>
      </c>
      <c r="B15" s="2" t="n">
        <v>959</v>
      </c>
      <c r="C15" s="2" t="n">
        <v>4</v>
      </c>
      <c r="D15" s="3">
        <f>C15/B15</f>
        <v/>
      </c>
      <c r="E15" s="2" t="n">
        <v>641</v>
      </c>
      <c r="F15" s="2" t="n">
        <v>897</v>
      </c>
      <c r="G15" s="3">
        <f>E15/F15</f>
        <v/>
      </c>
    </row>
    <row r="16">
      <c r="A16" s="2" t="inlineStr">
        <is>
          <t>01 April, 2026</t>
        </is>
      </c>
      <c r="B16" s="2" t="n">
        <v>932</v>
      </c>
      <c r="C16" s="2" t="n">
        <v>4</v>
      </c>
      <c r="D16" s="3">
        <f>C16/B16</f>
        <v/>
      </c>
      <c r="E16" s="2" t="n">
        <v>613</v>
      </c>
      <c r="F16" s="2" t="n">
        <v>867</v>
      </c>
      <c r="G16" s="3">
        <f>E16/F16</f>
        <v/>
      </c>
    </row>
    <row r="17">
      <c r="A17" s="2" t="inlineStr">
        <is>
          <t>02 April, 2026</t>
        </is>
      </c>
      <c r="B17" s="2" t="n">
        <v>904</v>
      </c>
      <c r="C17" s="2" t="n">
        <v>4</v>
      </c>
      <c r="D17" s="3">
        <f>C17/B17</f>
        <v/>
      </c>
      <c r="E17" s="2" t="n">
        <v>506</v>
      </c>
      <c r="F17" s="2" t="n">
        <v>828</v>
      </c>
      <c r="G17" s="3">
        <f>E17/F17</f>
        <v/>
      </c>
    </row>
    <row r="18">
      <c r="A18" s="2" t="inlineStr">
        <is>
          <t>03 April, 2026</t>
        </is>
      </c>
      <c r="B18" s="2" t="n">
        <v>877</v>
      </c>
      <c r="C18" s="2" t="n">
        <v>4</v>
      </c>
      <c r="D18" s="3">
        <f>C18/B18</f>
        <v/>
      </c>
      <c r="E18" s="2" t="n">
        <v>524</v>
      </c>
      <c r="F18" s="2" t="n">
        <v>827</v>
      </c>
      <c r="G18" s="3">
        <f>E18/F18</f>
        <v/>
      </c>
    </row>
    <row r="19">
      <c r="A19" s="2" t="inlineStr">
        <is>
          <t>04 April, 2026</t>
        </is>
      </c>
      <c r="B19" s="2" t="n">
        <v>841</v>
      </c>
      <c r="C19" s="2" t="n">
        <v>4</v>
      </c>
      <c r="D19" s="3">
        <f>C19/B19</f>
        <v/>
      </c>
      <c r="E19" s="2" t="n">
        <v>481</v>
      </c>
      <c r="F19" s="2" t="n">
        <v>795</v>
      </c>
      <c r="G19" s="3">
        <f>E19/F19</f>
        <v/>
      </c>
    </row>
    <row r="20">
      <c r="A20" s="2" t="inlineStr">
        <is>
          <t>05 April, 2026</t>
        </is>
      </c>
      <c r="B20" s="2" t="n">
        <v>786</v>
      </c>
      <c r="C20" s="2" t="n">
        <v>3</v>
      </c>
      <c r="D20" s="3">
        <f>C20/B20</f>
        <v/>
      </c>
      <c r="E20" s="2" t="n">
        <v>442</v>
      </c>
      <c r="F20" s="2" t="n">
        <v>732</v>
      </c>
      <c r="G20" s="3">
        <f>E20/F20</f>
        <v/>
      </c>
    </row>
    <row r="21">
      <c r="A21" s="2" t="inlineStr">
        <is>
          <t>06 April, 2026</t>
        </is>
      </c>
      <c r="B21" s="2" t="n">
        <v>754</v>
      </c>
      <c r="C21" s="2" t="n">
        <v>4</v>
      </c>
      <c r="D21" s="3">
        <f>C21/B21</f>
        <v/>
      </c>
      <c r="E21" s="2" t="n">
        <v>506</v>
      </c>
      <c r="F21" s="2" t="n">
        <v>687</v>
      </c>
      <c r="G21" s="3">
        <f>E21/F21</f>
        <v/>
      </c>
    </row>
    <row r="22">
      <c r="A22" s="2" t="inlineStr">
        <is>
          <t>07 April, 2026</t>
        </is>
      </c>
      <c r="B22" s="2" t="n">
        <v>681</v>
      </c>
      <c r="C22" s="2" t="n">
        <v>3</v>
      </c>
      <c r="D22" s="3">
        <f>C22/B22</f>
        <v/>
      </c>
      <c r="E22" s="2" t="n">
        <v>467</v>
      </c>
      <c r="F22" s="2" t="n">
        <v>631</v>
      </c>
      <c r="G22" s="3">
        <f>E22/F22</f>
        <v/>
      </c>
    </row>
    <row r="23">
      <c r="A23" s="2" t="inlineStr">
        <is>
          <t>08 April, 2026</t>
        </is>
      </c>
      <c r="B23" s="2" t="n">
        <v>503</v>
      </c>
      <c r="C23" s="2" t="n">
        <v>3</v>
      </c>
      <c r="D23" s="3">
        <f>C23/B23</f>
        <v/>
      </c>
      <c r="E23" s="2" t="n">
        <v>321</v>
      </c>
      <c r="F23" s="2" t="n">
        <v>458</v>
      </c>
      <c r="G23" s="3">
        <f>E23/F23</f>
        <v/>
      </c>
    </row>
    <row r="24">
      <c r="A24" s="4" t="inlineStr">
        <is>
          <t>Grand Total</t>
        </is>
      </c>
      <c r="B24" s="5">
        <f>SUM(B2:B23)</f>
        <v/>
      </c>
      <c r="C24" s="5">
        <f>SUM(C2:C23)</f>
        <v/>
      </c>
      <c r="D24" s="6">
        <f>C24/B24</f>
        <v/>
      </c>
      <c r="E24" s="5">
        <f>SUM(E2:E23)</f>
        <v/>
      </c>
      <c r="F24" s="5">
        <f>SUM(F2:F23)</f>
        <v/>
      </c>
      <c r="G24" s="6">
        <f>E24/F24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mt.co.kr</t>
        </is>
      </c>
      <c r="B2" s="2" t="n">
        <v>5298</v>
      </c>
      <c r="C2" s="2" t="n">
        <v>29</v>
      </c>
      <c r="D2" s="3">
        <f>C2/B2</f>
        <v/>
      </c>
    </row>
    <row r="3">
      <c r="A3" s="8" t="inlineStr">
        <is>
          <t>vonnews.co.kr</t>
        </is>
      </c>
      <c r="B3" s="2" t="n">
        <v>1648</v>
      </c>
      <c r="C3" s="2" t="n">
        <v>9</v>
      </c>
      <c r="D3" s="3">
        <f>C3/B3</f>
        <v/>
      </c>
    </row>
    <row r="4">
      <c r="A4" s="8" t="inlineStr">
        <is>
          <t>topstarnews.net</t>
        </is>
      </c>
      <c r="B4" s="2" t="n">
        <v>1546</v>
      </c>
      <c r="C4" s="2" t="n">
        <v>8</v>
      </c>
      <c r="D4" s="3">
        <f>C4/B4</f>
        <v/>
      </c>
    </row>
    <row r="5">
      <c r="A5" s="8" t="inlineStr">
        <is>
          <t>news1.kr</t>
        </is>
      </c>
      <c r="B5" s="2" t="n">
        <v>1449</v>
      </c>
      <c r="C5" s="2" t="n">
        <v>8</v>
      </c>
      <c r="D5" s="3">
        <f>C5/B5</f>
        <v/>
      </c>
    </row>
    <row r="6">
      <c r="A6" s="8" t="inlineStr">
        <is>
          <t>momsdiary.co.kr</t>
        </is>
      </c>
      <c r="B6" s="2" t="n">
        <v>1362</v>
      </c>
      <c r="C6" s="2" t="n">
        <v>7</v>
      </c>
      <c r="D6" s="3">
        <f>C6/B6</f>
        <v/>
      </c>
    </row>
    <row r="7">
      <c r="A7" s="8" t="inlineStr">
        <is>
          <t>yna.co.kr</t>
        </is>
      </c>
      <c r="B7" s="2" t="n">
        <v>1323</v>
      </c>
      <c r="C7" s="2" t="n">
        <v>7</v>
      </c>
      <c r="D7" s="3">
        <f>C7/B7</f>
        <v/>
      </c>
    </row>
    <row r="8">
      <c r="A8" s="8" t="inlineStr">
        <is>
          <t>insight.co.kr</t>
        </is>
      </c>
      <c r="B8" s="2" t="n">
        <v>1285</v>
      </c>
      <c r="C8" s="2" t="n">
        <v>5</v>
      </c>
      <c r="D8" s="3">
        <f>C8/B8</f>
        <v/>
      </c>
    </row>
    <row r="9">
      <c r="A9" s="8" t="inlineStr">
        <is>
          <t>khan.co.kr</t>
        </is>
      </c>
      <c r="B9" s="2" t="n">
        <v>1255</v>
      </c>
      <c r="C9" s="2" t="n">
        <v>7</v>
      </c>
      <c r="D9" s="3">
        <f>C9/B9</f>
        <v/>
      </c>
    </row>
    <row r="10">
      <c r="A10" s="8" t="inlineStr">
        <is>
          <t>youthdaily.co.kr</t>
        </is>
      </c>
      <c r="B10" s="2" t="n">
        <v>548</v>
      </c>
      <c r="C10" s="2" t="n">
        <v>3</v>
      </c>
      <c r="D10" s="3">
        <f>C10/B10</f>
        <v/>
      </c>
    </row>
    <row r="11">
      <c r="A11" s="8" t="inlineStr">
        <is>
          <t>fnnews.com</t>
        </is>
      </c>
      <c r="B11" s="2" t="n">
        <v>541</v>
      </c>
      <c r="C11" s="2" t="n">
        <v>3</v>
      </c>
      <c r="D11" s="3">
        <f>C11/B11</f>
        <v/>
      </c>
    </row>
    <row r="12">
      <c r="A12" s="8" t="inlineStr">
        <is>
          <t>photo.chosun.com</t>
        </is>
      </c>
      <c r="B12" s="2" t="n">
        <v>492</v>
      </c>
      <c r="C12" s="2" t="n">
        <v>3</v>
      </c>
      <c r="D12" s="3">
        <f>C12/B12</f>
        <v/>
      </c>
    </row>
    <row r="13">
      <c r="A13" s="8" t="inlineStr">
        <is>
          <t>zinmovie.co.kr</t>
        </is>
      </c>
      <c r="B13" s="2" t="n">
        <v>471</v>
      </c>
      <c r="C13" s="2" t="n">
        <v>2</v>
      </c>
      <c r="D13" s="3">
        <f>C13/B13</f>
        <v/>
      </c>
    </row>
    <row r="14">
      <c r="A14" s="8" t="inlineStr">
        <is>
          <t>tripadvisor.co.kr</t>
        </is>
      </c>
      <c r="B14" s="2" t="n">
        <v>462</v>
      </c>
      <c r="C14" s="2" t="n">
        <v>2</v>
      </c>
      <c r="D14" s="3">
        <f>C14/B14</f>
        <v/>
      </c>
    </row>
    <row r="15">
      <c r="A15" s="8" t="inlineStr">
        <is>
          <t>edaily.co.kr</t>
        </is>
      </c>
      <c r="B15" s="2" t="n">
        <v>432</v>
      </c>
      <c r="C15" s="2" t="n">
        <v>2</v>
      </c>
      <c r="D15" s="3">
        <f>C15/B15</f>
        <v/>
      </c>
    </row>
    <row r="16">
      <c r="A16" s="8" t="inlineStr">
        <is>
          <t>koreatimestx.com</t>
        </is>
      </c>
      <c r="B16" s="2" t="n">
        <v>423</v>
      </c>
      <c r="C16" s="2" t="n">
        <v>2</v>
      </c>
      <c r="D16" s="3">
        <f>C16/B16</f>
        <v/>
      </c>
    </row>
    <row r="17">
      <c r="A17" s="8" t="inlineStr">
        <is>
          <t>koreatimes.co.kr</t>
        </is>
      </c>
      <c r="B17" s="2" t="n">
        <v>399</v>
      </c>
      <c r="C17" s="2" t="n">
        <v>2</v>
      </c>
      <c r="D17" s="3">
        <f>C17/B17</f>
        <v/>
      </c>
    </row>
    <row r="18">
      <c r="A18" s="8" t="inlineStr">
        <is>
          <t>huffingtonpost.kr</t>
        </is>
      </c>
      <c r="B18" s="2" t="n">
        <v>379</v>
      </c>
      <c r="C18" s="2" t="n">
        <v>2</v>
      </c>
      <c r="D18" s="3">
        <f>C18/B18</f>
        <v/>
      </c>
    </row>
    <row r="19">
      <c r="A19" s="8" t="inlineStr">
        <is>
          <t>mbn.mk.co.kr</t>
        </is>
      </c>
      <c r="B19" s="2" t="n">
        <v>364</v>
      </c>
      <c r="C19" s="2" t="n">
        <v>2</v>
      </c>
      <c r="D19" s="3">
        <f>C19/B19</f>
        <v/>
      </c>
    </row>
    <row r="20">
      <c r="A20" s="8" t="inlineStr">
        <is>
          <t>biz.chosun.com</t>
        </is>
      </c>
      <c r="B20" s="2" t="n">
        <v>300</v>
      </c>
      <c r="C20" s="2" t="n">
        <v>2</v>
      </c>
      <c r="D20" s="3">
        <f>C20/B20</f>
        <v/>
      </c>
    </row>
    <row r="21">
      <c r="A21" s="8" t="inlineStr">
        <is>
          <t>autoherald.co.kr</t>
        </is>
      </c>
      <c r="B21" s="2" t="n">
        <v>234</v>
      </c>
      <c r="C21" s="2" t="n">
        <v>1</v>
      </c>
      <c r="D21" s="3">
        <f>C21/B21</f>
        <v/>
      </c>
    </row>
    <row r="22">
      <c r="A22" s="8" t="inlineStr">
        <is>
          <t>movie.daum.net</t>
        </is>
      </c>
      <c r="B22" s="2" t="n">
        <v>104</v>
      </c>
      <c r="C22" s="2" t="n">
        <v>0</v>
      </c>
      <c r="D22" s="3">
        <f>C22/B22</f>
        <v/>
      </c>
    </row>
    <row r="23">
      <c r="A23" s="8" t="inlineStr">
        <is>
          <t>daum.net</t>
        </is>
      </c>
      <c r="B23" s="2" t="n">
        <v>89</v>
      </c>
      <c r="C23" s="2" t="n">
        <v>0</v>
      </c>
      <c r="D23" s="3">
        <f>C23/B23</f>
        <v/>
      </c>
    </row>
    <row r="24">
      <c r="A24" s="8" t="inlineStr">
        <is>
          <t>segyefn.com</t>
        </is>
      </c>
      <c r="B24" s="2" t="n">
        <v>80</v>
      </c>
      <c r="C24" s="2" t="n">
        <v>0</v>
      </c>
      <c r="D24" s="3">
        <f>C24/B24</f>
        <v/>
      </c>
    </row>
    <row r="25">
      <c r="A25" s="8" t="inlineStr">
        <is>
          <t>land.hankyung.com</t>
        </is>
      </c>
      <c r="B25" s="2" t="n">
        <v>72</v>
      </c>
      <c r="C25" s="2" t="n">
        <v>0</v>
      </c>
      <c r="D25" s="3">
        <f>C25/B25</f>
        <v/>
      </c>
    </row>
    <row r="26">
      <c r="A26" s="8" t="inlineStr">
        <is>
          <t>newsis.com</t>
        </is>
      </c>
      <c r="B26" s="2" t="n">
        <v>65</v>
      </c>
      <c r="C26" s="2" t="n">
        <v>0</v>
      </c>
      <c r="D26" s="3">
        <f>C26/B26</f>
        <v/>
      </c>
    </row>
    <row r="27">
      <c r="A27" s="8" t="inlineStr">
        <is>
          <t>stardailynews.co.kr</t>
        </is>
      </c>
      <c r="B27" s="2" t="n">
        <v>61</v>
      </c>
      <c r="C27" s="2" t="n">
        <v>0</v>
      </c>
      <c r="D27" s="3">
        <f>C27/B27</f>
        <v/>
      </c>
    </row>
    <row r="28">
      <c r="A28" s="8" t="inlineStr">
        <is>
          <t>5rock.co.kr</t>
        </is>
      </c>
      <c r="B28" s="2" t="n">
        <v>58</v>
      </c>
      <c r="C28" s="2" t="n">
        <v>0</v>
      </c>
      <c r="D28" s="3">
        <f>C28/B28</f>
        <v/>
      </c>
    </row>
    <row r="29">
      <c r="A29" s="8" t="inlineStr">
        <is>
          <t>kormedi.com</t>
        </is>
      </c>
      <c r="B29" s="2" t="n">
        <v>55</v>
      </c>
      <c r="C29" s="2" t="n">
        <v>0</v>
      </c>
      <c r="D29" s="3">
        <f>C29/B29</f>
        <v/>
      </c>
    </row>
    <row r="30">
      <c r="A30" s="8" t="inlineStr">
        <is>
          <t>koreantoday.com.au</t>
        </is>
      </c>
      <c r="B30" s="2" t="n">
        <v>51</v>
      </c>
      <c r="C30" s="2" t="n">
        <v>0</v>
      </c>
      <c r="D30" s="3">
        <f>C30/B30</f>
        <v/>
      </c>
    </row>
    <row r="31">
      <c r="A31" s="8" t="inlineStr">
        <is>
          <t>mimint.co.kr</t>
        </is>
      </c>
      <c r="B31" s="2" t="n">
        <v>49</v>
      </c>
      <c r="C31" s="2" t="n">
        <v>0</v>
      </c>
      <c r="D31" s="3">
        <f>C31/B31</f>
        <v/>
      </c>
    </row>
    <row r="32">
      <c r="A32" s="8" t="inlineStr">
        <is>
          <t>tvdaily.co.kr</t>
        </is>
      </c>
      <c r="B32" s="2" t="n">
        <v>46</v>
      </c>
      <c r="C32" s="2" t="n">
        <v>0</v>
      </c>
      <c r="D32" s="3">
        <f>C32/B32</f>
        <v/>
      </c>
    </row>
    <row r="33">
      <c r="A33" s="8" t="inlineStr">
        <is>
          <t>hojumoney.com.au</t>
        </is>
      </c>
      <c r="B33" s="2" t="n">
        <v>42</v>
      </c>
      <c r="C33" s="2" t="n">
        <v>0</v>
      </c>
      <c r="D33" s="3">
        <f>C33/B33</f>
        <v/>
      </c>
    </row>
    <row r="34">
      <c r="A34" s="8" t="inlineStr">
        <is>
          <t>huiroro.co.kr</t>
        </is>
      </c>
      <c r="B34" s="2" t="n">
        <v>39</v>
      </c>
      <c r="C34" s="2" t="n">
        <v>0</v>
      </c>
      <c r="D34" s="3">
        <f>C34/B34</f>
        <v/>
      </c>
    </row>
    <row r="35">
      <c r="A35" s="8" t="inlineStr">
        <is>
          <t>newdaily.co.kr</t>
        </is>
      </c>
      <c r="B35" s="2" t="n">
        <v>37</v>
      </c>
      <c r="C35" s="2" t="n">
        <v>0</v>
      </c>
      <c r="D35" s="3">
        <f>C35/B35</f>
        <v/>
      </c>
    </row>
    <row r="36">
      <c r="A36" s="8" t="inlineStr">
        <is>
          <t>healthfeed.co.kr</t>
        </is>
      </c>
      <c r="B36" s="2" t="n">
        <v>35</v>
      </c>
      <c r="C36" s="2" t="n">
        <v>0</v>
      </c>
      <c r="D36" s="3">
        <f>C36/B36</f>
        <v/>
      </c>
    </row>
    <row r="37">
      <c r="A37" s="8" t="inlineStr">
        <is>
          <t>mrepublic.co.kr</t>
        </is>
      </c>
      <c r="B37" s="2" t="n">
        <v>32</v>
      </c>
      <c r="C37" s="2" t="n">
        <v>0</v>
      </c>
      <c r="D37" s="3">
        <f>C37/B37</f>
        <v/>
      </c>
    </row>
    <row r="38">
      <c r="A38" s="8" t="inlineStr">
        <is>
          <t>whycar.co.kr</t>
        </is>
      </c>
      <c r="B38" s="2" t="n">
        <v>27</v>
      </c>
      <c r="C38" s="2" t="n">
        <v>0</v>
      </c>
      <c r="D38" s="3">
        <f>C38/B38</f>
        <v/>
      </c>
    </row>
    <row r="39">
      <c r="A39" s="8" t="inlineStr">
        <is>
          <t>youaremom.co.kr</t>
        </is>
      </c>
      <c r="B39" s="2" t="n">
        <v>22</v>
      </c>
      <c r="C39" s="2" t="n">
        <v>0</v>
      </c>
      <c r="D39" s="3">
        <f>C39/B39</f>
        <v/>
      </c>
    </row>
    <row r="40">
      <c r="A40" s="8" t="inlineStr">
        <is>
          <t>donga.com</t>
        </is>
      </c>
      <c r="B40" s="2" t="n">
        <v>18</v>
      </c>
      <c r="C40" s="2" t="n">
        <v>0</v>
      </c>
      <c r="D40" s="3">
        <f>C40/B40</f>
        <v/>
      </c>
    </row>
    <row r="41">
      <c r="A41" s="8" t="inlineStr">
        <is>
          <t>24post.co.kr</t>
        </is>
      </c>
      <c r="B41" s="2" t="n">
        <v>15</v>
      </c>
      <c r="C41" s="2" t="n">
        <v>0</v>
      </c>
      <c r="D41" s="3">
        <f>C41/B41</f>
        <v/>
      </c>
    </row>
    <row r="42">
      <c r="A42" s="8" t="inlineStr">
        <is>
          <t>kayak.co.kr</t>
        </is>
      </c>
      <c r="B42" s="2" t="n">
        <v>10</v>
      </c>
      <c r="C42" s="2" t="n">
        <v>0</v>
      </c>
      <c r="D42" s="3">
        <f>C42/B42</f>
        <v/>
      </c>
    </row>
    <row r="43">
      <c r="A43" s="8" t="inlineStr">
        <is>
          <t>hanhodaily.com</t>
        </is>
      </c>
      <c r="B43" s="2" t="n">
        <v>5</v>
      </c>
      <c r="C43" s="2" t="n">
        <v>0</v>
      </c>
      <c r="D43" s="3">
        <f>C43/B43</f>
        <v/>
      </c>
    </row>
    <row r="44">
      <c r="A44" s="8" t="inlineStr">
        <is>
          <t>naver.com</t>
        </is>
      </c>
      <c r="B44" s="2" t="n">
        <v>1</v>
      </c>
      <c r="C44" s="2" t="n">
        <v>0</v>
      </c>
      <c r="D44" s="3">
        <f>C44/B44</f>
        <v/>
      </c>
    </row>
    <row r="45">
      <c r="A45" s="4" t="inlineStr">
        <is>
          <t>Grand Total</t>
        </is>
      </c>
      <c r="B45" s="5">
        <f>SUM(B2:B44)</f>
        <v/>
      </c>
      <c r="C45" s="5">
        <f>SUM(C2:C44)</f>
        <v/>
      </c>
      <c r="D45" s="6">
        <f>C45/B45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273</v>
      </c>
      <c r="C2" s="2" t="n">
        <v>1</v>
      </c>
      <c r="D2" s="3">
        <f>C2/B2</f>
        <v/>
      </c>
    </row>
    <row r="3">
      <c r="A3" s="8" t="n">
        <v>1</v>
      </c>
      <c r="B3" s="2" t="n">
        <v>236</v>
      </c>
      <c r="C3" s="2" t="n">
        <v>1</v>
      </c>
      <c r="D3" s="3">
        <f>C3/B3</f>
        <v/>
      </c>
    </row>
    <row r="4">
      <c r="A4" s="8" t="n">
        <v>2</v>
      </c>
      <c r="B4" s="2" t="n">
        <v>156</v>
      </c>
      <c r="C4" s="2" t="n">
        <v>0</v>
      </c>
      <c r="D4" s="3">
        <f>C4/B4</f>
        <v/>
      </c>
    </row>
    <row r="5">
      <c r="A5" s="8" t="n">
        <v>3</v>
      </c>
      <c r="B5" s="2" t="n">
        <v>174</v>
      </c>
      <c r="C5" s="2" t="n">
        <v>0</v>
      </c>
      <c r="D5" s="3">
        <f>C5/B5</f>
        <v/>
      </c>
    </row>
    <row r="6">
      <c r="A6" s="8" t="n">
        <v>4</v>
      </c>
      <c r="B6" s="2" t="n">
        <v>243</v>
      </c>
      <c r="C6" s="2" t="n">
        <v>1</v>
      </c>
      <c r="D6" s="3">
        <f>C6/B6</f>
        <v/>
      </c>
    </row>
    <row r="7">
      <c r="A7" s="8" t="n">
        <v>5</v>
      </c>
      <c r="B7" s="2" t="n">
        <v>409</v>
      </c>
      <c r="C7" s="2" t="n">
        <v>2</v>
      </c>
      <c r="D7" s="3">
        <f>C7/B7</f>
        <v/>
      </c>
    </row>
    <row r="8">
      <c r="A8" s="8" t="n">
        <v>6</v>
      </c>
      <c r="B8" s="2" t="n">
        <v>725</v>
      </c>
      <c r="C8" s="2" t="n">
        <v>4</v>
      </c>
      <c r="D8" s="3">
        <f>C8/B8</f>
        <v/>
      </c>
    </row>
    <row r="9">
      <c r="A9" s="8" t="n">
        <v>7</v>
      </c>
      <c r="B9" s="2" t="n">
        <v>914</v>
      </c>
      <c r="C9" s="2" t="n">
        <v>5</v>
      </c>
      <c r="D9" s="3">
        <f>C9/B9</f>
        <v/>
      </c>
    </row>
    <row r="10">
      <c r="A10" s="8" t="n">
        <v>8</v>
      </c>
      <c r="B10" s="2" t="n">
        <v>1236</v>
      </c>
      <c r="C10" s="2" t="n">
        <v>6</v>
      </c>
      <c r="D10" s="3">
        <f>C10/B10</f>
        <v/>
      </c>
    </row>
    <row r="11">
      <c r="A11" s="8" t="n">
        <v>9</v>
      </c>
      <c r="B11" s="2" t="n">
        <v>1336</v>
      </c>
      <c r="C11" s="2" t="n">
        <v>6</v>
      </c>
      <c r="D11" s="3">
        <f>C11/B11</f>
        <v/>
      </c>
    </row>
    <row r="12">
      <c r="A12" s="8" t="n">
        <v>10</v>
      </c>
      <c r="B12" s="2" t="n">
        <v>1305</v>
      </c>
      <c r="C12" s="2" t="n">
        <v>7</v>
      </c>
      <c r="D12" s="3">
        <f>C12/B12</f>
        <v/>
      </c>
    </row>
    <row r="13">
      <c r="A13" s="8" t="n">
        <v>11</v>
      </c>
      <c r="B13" s="2" t="n">
        <v>1320</v>
      </c>
      <c r="C13" s="2" t="n">
        <v>7</v>
      </c>
      <c r="D13" s="3">
        <f>C13/B13</f>
        <v/>
      </c>
    </row>
    <row r="14">
      <c r="A14" s="8" t="n">
        <v>12</v>
      </c>
      <c r="B14" s="2" t="n">
        <v>1171</v>
      </c>
      <c r="C14" s="2" t="n">
        <v>6</v>
      </c>
      <c r="D14" s="3">
        <f>C14/B14</f>
        <v/>
      </c>
    </row>
    <row r="15">
      <c r="A15" s="8" t="n">
        <v>13</v>
      </c>
      <c r="B15" s="2" t="n">
        <v>1106</v>
      </c>
      <c r="C15" s="2" t="n">
        <v>6</v>
      </c>
      <c r="D15" s="3">
        <f>C15/B15</f>
        <v/>
      </c>
    </row>
    <row r="16">
      <c r="A16" s="8" t="n">
        <v>14</v>
      </c>
      <c r="B16" s="2" t="n">
        <v>735</v>
      </c>
      <c r="C16" s="2" t="n">
        <v>4</v>
      </c>
      <c r="D16" s="3">
        <f>C16/B16</f>
        <v/>
      </c>
    </row>
    <row r="17">
      <c r="A17" s="8" t="n">
        <v>15</v>
      </c>
      <c r="B17" s="2" t="n">
        <v>912</v>
      </c>
      <c r="C17" s="2" t="n">
        <v>5</v>
      </c>
      <c r="D17" s="3">
        <f>C17/B17</f>
        <v/>
      </c>
    </row>
    <row r="18">
      <c r="A18" s="8" t="n">
        <v>16</v>
      </c>
      <c r="B18" s="2" t="n">
        <v>1129</v>
      </c>
      <c r="C18" s="2" t="n">
        <v>6</v>
      </c>
      <c r="D18" s="3">
        <f>C18/B18</f>
        <v/>
      </c>
    </row>
    <row r="19">
      <c r="A19" s="8" t="n">
        <v>17</v>
      </c>
      <c r="B19" s="2" t="n">
        <v>1560</v>
      </c>
      <c r="C19" s="2" t="n">
        <v>7</v>
      </c>
      <c r="D19" s="3">
        <f>C19/B19</f>
        <v/>
      </c>
    </row>
    <row r="20">
      <c r="A20" s="8" t="n">
        <v>18</v>
      </c>
      <c r="B20" s="2" t="n">
        <v>1643</v>
      </c>
      <c r="C20" s="2" t="n">
        <v>9</v>
      </c>
      <c r="D20" s="3">
        <f>C20/B20</f>
        <v/>
      </c>
    </row>
    <row r="21">
      <c r="A21" s="8" t="n">
        <v>19</v>
      </c>
      <c r="B21" s="2" t="n">
        <v>1503</v>
      </c>
      <c r="C21" s="2" t="n">
        <v>7</v>
      </c>
      <c r="D21" s="3">
        <f>C21/B21</f>
        <v/>
      </c>
    </row>
    <row r="22">
      <c r="A22" s="8" t="n">
        <v>20</v>
      </c>
      <c r="B22" s="2" t="n">
        <v>1141</v>
      </c>
      <c r="C22" s="2" t="n">
        <v>6</v>
      </c>
      <c r="D22" s="3">
        <f>C22/B22</f>
        <v/>
      </c>
    </row>
    <row r="23">
      <c r="A23" s="8" t="n">
        <v>21</v>
      </c>
      <c r="B23" s="2" t="n">
        <v>930</v>
      </c>
      <c r="C23" s="2" t="n">
        <v>5</v>
      </c>
      <c r="D23" s="3">
        <f>C23/B23</f>
        <v/>
      </c>
    </row>
    <row r="24">
      <c r="A24" s="8" t="n">
        <v>22</v>
      </c>
      <c r="B24" s="2" t="n">
        <v>700</v>
      </c>
      <c r="C24" s="2" t="n">
        <v>3</v>
      </c>
      <c r="D24" s="3">
        <f>C24/B24</f>
        <v/>
      </c>
    </row>
    <row r="25">
      <c r="A25" s="8" t="n">
        <v>23</v>
      </c>
      <c r="B25" s="2" t="n">
        <v>367</v>
      </c>
      <c r="C25" s="2" t="n">
        <v>2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93</v>
      </c>
      <c r="C2" s="2" t="n">
        <v>0</v>
      </c>
      <c r="D2" s="3">
        <f>C2/B2</f>
        <v/>
      </c>
    </row>
    <row r="3">
      <c r="A3" s="8" t="inlineStr">
        <is>
          <t>BidSwitch</t>
        </is>
      </c>
      <c r="B3" s="2" t="n">
        <v>5827</v>
      </c>
      <c r="C3" s="2" t="n">
        <v>28</v>
      </c>
      <c r="D3" s="3">
        <f>C3/B3</f>
        <v/>
      </c>
    </row>
    <row r="4">
      <c r="A4" s="8" t="inlineStr">
        <is>
          <t>Criteo Commerce Grid</t>
        </is>
      </c>
      <c r="B4" s="2" t="n">
        <v>835</v>
      </c>
      <c r="C4" s="2" t="n">
        <v>5</v>
      </c>
      <c r="D4" s="3">
        <f>C4/B4</f>
        <v/>
      </c>
    </row>
    <row r="5">
      <c r="A5" s="8" t="inlineStr">
        <is>
          <t>Epsilon Core Private Exchange</t>
        </is>
      </c>
      <c r="B5" s="2" t="n">
        <v>521</v>
      </c>
      <c r="C5" s="2" t="n">
        <v>2</v>
      </c>
      <c r="D5" s="3">
        <f>C5/B5</f>
        <v/>
      </c>
    </row>
    <row r="6">
      <c r="A6" s="8" t="inlineStr">
        <is>
          <t>Equativ</t>
        </is>
      </c>
      <c r="B6" s="2" t="n">
        <v>423</v>
      </c>
      <c r="C6" s="2" t="n">
        <v>2</v>
      </c>
      <c r="D6" s="3">
        <f>C6/B6</f>
        <v/>
      </c>
    </row>
    <row r="7">
      <c r="A7" s="8" t="inlineStr">
        <is>
          <t>Google Ad Manager</t>
        </is>
      </c>
      <c r="B7" s="2" t="n">
        <v>6053</v>
      </c>
      <c r="C7" s="2" t="n">
        <v>38</v>
      </c>
      <c r="D7" s="3">
        <f>C7/B7</f>
        <v/>
      </c>
    </row>
    <row r="8">
      <c r="A8" s="8" t="inlineStr">
        <is>
          <t>GumGum</t>
        </is>
      </c>
      <c r="B8" s="2" t="n">
        <v>65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88</v>
      </c>
      <c r="C9" s="2" t="n">
        <v>0</v>
      </c>
      <c r="D9" s="3">
        <f>C9/B9</f>
        <v/>
      </c>
    </row>
    <row r="10">
      <c r="A10" s="8" t="inlineStr">
        <is>
          <t>InMobi</t>
        </is>
      </c>
      <c r="B10" s="2" t="n">
        <v>225</v>
      </c>
      <c r="C10" s="2" t="n">
        <v>1</v>
      </c>
      <c r="D10" s="3">
        <f>C10/B10</f>
        <v/>
      </c>
    </row>
    <row r="11">
      <c r="A11" s="8" t="inlineStr">
        <is>
          <t>Index Exchange</t>
        </is>
      </c>
      <c r="B11" s="2" t="n">
        <v>1543</v>
      </c>
      <c r="C11" s="2" t="n">
        <v>9</v>
      </c>
      <c r="D11" s="3">
        <f>C11/B11</f>
        <v/>
      </c>
    </row>
    <row r="12">
      <c r="A12" s="8" t="inlineStr">
        <is>
          <t>Kargo</t>
        </is>
      </c>
      <c r="B12" s="2" t="n">
        <v>162</v>
      </c>
      <c r="C12" s="2" t="n">
        <v>0</v>
      </c>
      <c r="D12" s="3">
        <f>C12/B12</f>
        <v/>
      </c>
    </row>
    <row r="13">
      <c r="A13" s="8" t="inlineStr">
        <is>
          <t>Magnite DV+</t>
        </is>
      </c>
      <c r="B13" s="2" t="n">
        <v>92</v>
      </c>
      <c r="C13" s="2" t="n">
        <v>0</v>
      </c>
      <c r="D13" s="3">
        <f>C13/B13</f>
        <v/>
      </c>
    </row>
    <row r="14">
      <c r="A14" s="8" t="inlineStr">
        <is>
          <t>Media.net</t>
        </is>
      </c>
      <c r="B14" s="2" t="n">
        <v>557</v>
      </c>
      <c r="C14" s="2" t="n">
        <v>3</v>
      </c>
      <c r="D14" s="3">
        <f>C14/B14</f>
        <v/>
      </c>
    </row>
    <row r="15">
      <c r="A15" s="8" t="inlineStr">
        <is>
          <t>Microsoft Monetize</t>
        </is>
      </c>
      <c r="B15" s="2" t="n">
        <v>75</v>
      </c>
      <c r="C15" s="2" t="n">
        <v>0</v>
      </c>
      <c r="D15" s="3">
        <f>C15/B15</f>
        <v/>
      </c>
    </row>
    <row r="16">
      <c r="A16" s="8" t="inlineStr">
        <is>
          <t>Nexxen (fka Unruly)</t>
        </is>
      </c>
      <c r="B16" s="2" t="n">
        <v>136</v>
      </c>
      <c r="C16" s="2" t="n">
        <v>0</v>
      </c>
      <c r="D16" s="3">
        <f>C16/B16</f>
        <v/>
      </c>
    </row>
    <row r="17">
      <c r="A17" s="8" t="inlineStr">
        <is>
          <t>OpenX</t>
        </is>
      </c>
      <c r="B17" s="2" t="n">
        <v>110</v>
      </c>
      <c r="C17" s="2" t="n">
        <v>0</v>
      </c>
      <c r="D17" s="3">
        <f>C17/B17</f>
        <v/>
      </c>
    </row>
    <row r="18">
      <c r="A18" s="8" t="inlineStr">
        <is>
          <t>PubMatic</t>
        </is>
      </c>
      <c r="B18" s="2" t="n">
        <v>3662</v>
      </c>
      <c r="C18" s="2" t="n">
        <v>15</v>
      </c>
      <c r="D18" s="3">
        <f>C18/B18</f>
        <v/>
      </c>
    </row>
    <row r="19">
      <c r="A19" s="8" t="inlineStr">
        <is>
          <t>Sovrn</t>
        </is>
      </c>
      <c r="B19" s="2" t="n">
        <v>142</v>
      </c>
      <c r="C19" s="2" t="n">
        <v>0</v>
      </c>
      <c r="D19" s="3">
        <f>C19/B19</f>
        <v/>
      </c>
    </row>
    <row r="20">
      <c r="A20" s="8" t="inlineStr">
        <is>
          <t>TeadsTv</t>
        </is>
      </c>
      <c r="B20" s="2" t="n">
        <v>59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220</v>
      </c>
      <c r="C21" s="2" t="n">
        <v>1</v>
      </c>
      <c r="D21" s="3">
        <f>C21/B21</f>
        <v/>
      </c>
    </row>
    <row r="22">
      <c r="A22" s="8" t="inlineStr">
        <is>
          <t>Yieldmo</t>
        </is>
      </c>
      <c r="B22" s="2" t="n">
        <v>336</v>
      </c>
      <c r="C22" s="2" t="n">
        <v>2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9258</v>
      </c>
      <c r="C2" s="2" t="n">
        <v>51</v>
      </c>
      <c r="D2" s="3">
        <f>C2/B2</f>
        <v/>
      </c>
    </row>
    <row r="3">
      <c r="A3" s="8" t="inlineStr">
        <is>
          <t>Smart Phone</t>
        </is>
      </c>
      <c r="B3" s="2" t="n">
        <v>9908</v>
      </c>
      <c r="C3" s="2" t="n">
        <v>45</v>
      </c>
      <c r="D3" s="3">
        <f>C3/B3</f>
        <v/>
      </c>
    </row>
    <row r="4">
      <c r="A4" s="8" t="inlineStr">
        <is>
          <t>Tablet</t>
        </is>
      </c>
      <c r="B4" s="2" t="n">
        <v>2058</v>
      </c>
      <c r="C4" s="2" t="n">
        <v>10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CA01468_Korean_Banner_160x600</t>
        </is>
      </c>
      <c r="B2" s="2" t="n">
        <v>1910</v>
      </c>
      <c r="C2" s="2" t="n">
        <v>10</v>
      </c>
      <c r="D2" s="3">
        <f>C2/B2</f>
        <v/>
      </c>
    </row>
    <row r="3">
      <c r="A3" s="8" t="inlineStr">
        <is>
          <t>CA01468_Korean_Banner_300x250</t>
        </is>
      </c>
      <c r="B3" s="2" t="n">
        <v>5363</v>
      </c>
      <c r="C3" s="2" t="n">
        <v>19</v>
      </c>
      <c r="D3" s="3">
        <f>C3/B3</f>
        <v/>
      </c>
    </row>
    <row r="4">
      <c r="A4" s="8" t="inlineStr">
        <is>
          <t>CA01468_Korean_Banner_300x600</t>
        </is>
      </c>
      <c r="B4" s="2" t="n">
        <v>2483</v>
      </c>
      <c r="C4" s="2" t="n">
        <v>11</v>
      </c>
      <c r="D4" s="3">
        <f>C4/B4</f>
        <v/>
      </c>
    </row>
    <row r="5">
      <c r="A5" s="8" t="inlineStr">
        <is>
          <t>CA01468_Korean_Banner_320x50</t>
        </is>
      </c>
      <c r="B5" s="2" t="n">
        <v>9645</v>
      </c>
      <c r="C5" s="2" t="n">
        <v>56</v>
      </c>
      <c r="D5" s="3">
        <f>C5/B5</f>
        <v/>
      </c>
    </row>
    <row r="6">
      <c r="A6" s="8" t="inlineStr">
        <is>
          <t>CA01468_Korean_Banner_728x90</t>
        </is>
      </c>
      <c r="B6" s="2" t="n">
        <v>1823</v>
      </c>
      <c r="C6" s="2" t="n">
        <v>10</v>
      </c>
      <c r="D6" s="3">
        <f>C6/B6</f>
        <v/>
      </c>
    </row>
    <row r="7">
      <c r="A7" s="4" t="inlineStr">
        <is>
          <t>Grand Total</t>
        </is>
      </c>
      <c r="B7" s="5">
        <f>SUM(B2:B6)</f>
        <v/>
      </c>
      <c r="C7" s="5">
        <f>SUM(C2:C6)</f>
        <v/>
      </c>
      <c r="D7" s="6">
        <f>C7/B7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Sydney</t>
        </is>
      </c>
      <c r="B2" s="2" t="n">
        <v>18426</v>
      </c>
      <c r="C2" s="2" t="n">
        <v>81</v>
      </c>
      <c r="D2" s="3">
        <f>C2/B2</f>
        <v/>
      </c>
    </row>
    <row r="3">
      <c r="A3" s="8" t="inlineStr">
        <is>
          <t>Box Hill</t>
        </is>
      </c>
      <c r="B3" s="2" t="n">
        <v>265</v>
      </c>
      <c r="C3" s="2" t="n">
        <v>1</v>
      </c>
      <c r="D3" s="3">
        <f>C3/B3</f>
        <v/>
      </c>
    </row>
    <row r="4">
      <c r="A4" s="8" t="inlineStr">
        <is>
          <t>Hornsby</t>
        </is>
      </c>
      <c r="B4" s="2" t="n">
        <v>190</v>
      </c>
      <c r="C4" s="2" t="n">
        <v>1</v>
      </c>
      <c r="D4" s="3">
        <f>C4/B4</f>
        <v/>
      </c>
    </row>
    <row r="5">
      <c r="A5" s="8" t="inlineStr">
        <is>
          <t>Newcastle</t>
        </is>
      </c>
      <c r="B5" s="2" t="n">
        <v>181</v>
      </c>
      <c r="C5" s="2" t="n">
        <v>1</v>
      </c>
      <c r="D5" s="3">
        <f>C5/B5</f>
        <v/>
      </c>
    </row>
    <row r="6">
      <c r="A6" s="8" t="inlineStr">
        <is>
          <t>Central Coast</t>
        </is>
      </c>
      <c r="B6" s="2" t="n">
        <v>162</v>
      </c>
      <c r="C6" s="2" t="n">
        <v>1</v>
      </c>
      <c r="D6" s="3">
        <f>C6/B6</f>
        <v/>
      </c>
    </row>
    <row r="7">
      <c r="A7" s="8" t="inlineStr">
        <is>
          <t>Wollongong</t>
        </is>
      </c>
      <c r="B7" s="2" t="n">
        <v>106</v>
      </c>
      <c r="C7" s="2" t="n">
        <v>0</v>
      </c>
      <c r="D7" s="3">
        <f>C7/B7</f>
        <v/>
      </c>
    </row>
    <row r="8">
      <c r="A8" s="8" t="inlineStr">
        <is>
          <t>Lismore</t>
        </is>
      </c>
      <c r="B8" s="2" t="n">
        <v>66</v>
      </c>
      <c r="C8" s="2" t="n">
        <v>0</v>
      </c>
      <c r="D8" s="3">
        <f>C8/B8</f>
        <v/>
      </c>
    </row>
    <row r="9">
      <c r="A9" s="8" t="inlineStr">
        <is>
          <t>Port Macquarie</t>
        </is>
      </c>
      <c r="B9" s="2" t="n">
        <v>47</v>
      </c>
      <c r="C9" s="2" t="n">
        <v>0</v>
      </c>
      <c r="D9" s="3">
        <f>C9/B9</f>
        <v/>
      </c>
    </row>
    <row r="10">
      <c r="A10" s="8" t="inlineStr">
        <is>
          <t>Dubbo</t>
        </is>
      </c>
      <c r="B10" s="2" t="n">
        <v>44</v>
      </c>
      <c r="C10" s="2" t="n">
        <v>0</v>
      </c>
      <c r="D10" s="3">
        <f>C10/B10</f>
        <v/>
      </c>
    </row>
    <row r="11">
      <c r="A11" s="8" t="inlineStr">
        <is>
          <t>Coffs Harbour</t>
        </is>
      </c>
      <c r="B11" s="2" t="n">
        <v>43</v>
      </c>
      <c r="C11" s="2" t="n">
        <v>0</v>
      </c>
      <c r="D11" s="3">
        <f>C11/B11</f>
        <v/>
      </c>
    </row>
    <row r="12">
      <c r="A12" s="8" t="inlineStr">
        <is>
          <t>Orange</t>
        </is>
      </c>
      <c r="B12" s="2" t="n">
        <v>37</v>
      </c>
      <c r="C12" s="2" t="n">
        <v>0</v>
      </c>
      <c r="D12" s="3">
        <f>C12/B12</f>
        <v/>
      </c>
    </row>
    <row r="13">
      <c r="A13" s="8" t="inlineStr">
        <is>
          <t>Young</t>
        </is>
      </c>
      <c r="B13" s="2" t="n">
        <v>34</v>
      </c>
      <c r="C13" s="2" t="n">
        <v>0</v>
      </c>
      <c r="D13" s="3">
        <f>C13/B13</f>
        <v/>
      </c>
    </row>
    <row r="14">
      <c r="A14" s="8" t="inlineStr">
        <is>
          <t>Bathurst</t>
        </is>
      </c>
      <c r="B14" s="2" t="n">
        <v>27</v>
      </c>
      <c r="C14" s="2" t="n">
        <v>0</v>
      </c>
      <c r="D14" s="3">
        <f>C14/B14</f>
        <v/>
      </c>
    </row>
    <row r="15">
      <c r="A15" s="8" t="inlineStr">
        <is>
          <t>Dural</t>
        </is>
      </c>
      <c r="B15" s="2" t="n">
        <v>26</v>
      </c>
      <c r="C15" s="2" t="n">
        <v>0</v>
      </c>
      <c r="D15" s="3">
        <f>C15/B15</f>
        <v/>
      </c>
    </row>
    <row r="16">
      <c r="A16" s="8" t="inlineStr">
        <is>
          <t>Stanthorpe</t>
        </is>
      </c>
      <c r="B16" s="2" t="n">
        <v>53</v>
      </c>
      <c r="C16" s="2" t="n">
        <v>0</v>
      </c>
      <c r="D16" s="3">
        <f>C16/B16</f>
        <v/>
      </c>
    </row>
    <row r="17">
      <c r="A17" s="8" t="inlineStr">
        <is>
          <t>Leppington</t>
        </is>
      </c>
      <c r="B17" s="2" t="n">
        <v>58</v>
      </c>
      <c r="C17" s="2" t="n">
        <v>0</v>
      </c>
      <c r="D17" s="3">
        <f>C17/B17</f>
        <v/>
      </c>
    </row>
    <row r="18">
      <c r="A18" s="8" t="inlineStr">
        <is>
          <t>Moruya</t>
        </is>
      </c>
      <c r="B18" s="2" t="n">
        <v>19</v>
      </c>
      <c r="C18" s="2" t="n">
        <v>0</v>
      </c>
      <c r="D18" s="3">
        <f>C18/B18</f>
        <v/>
      </c>
    </row>
    <row r="19">
      <c r="A19" s="8" t="inlineStr">
        <is>
          <t>Nowra</t>
        </is>
      </c>
      <c r="B19" s="2" t="n">
        <v>24</v>
      </c>
      <c r="C19" s="2" t="n">
        <v>0</v>
      </c>
      <c r="D19" s="3">
        <f>C19/B19</f>
        <v/>
      </c>
    </row>
    <row r="20">
      <c r="A20" s="8" t="inlineStr">
        <is>
          <t>Parkes</t>
        </is>
      </c>
      <c r="B20" s="2" t="n">
        <v>80</v>
      </c>
      <c r="C20" s="2" t="n">
        <v>0</v>
      </c>
      <c r="D20" s="3">
        <f>C20/B20</f>
        <v/>
      </c>
    </row>
    <row r="21">
      <c r="A21" s="8" t="inlineStr">
        <is>
          <t>Marulan</t>
        </is>
      </c>
      <c r="B21" s="2" t="n">
        <v>81</v>
      </c>
      <c r="C21" s="2" t="n">
        <v>0</v>
      </c>
      <c r="D21" s="3">
        <f>C21/B21</f>
        <v/>
      </c>
    </row>
    <row r="22">
      <c r="A22" s="8" t="inlineStr">
        <is>
          <t>Bungendore</t>
        </is>
      </c>
      <c r="B22" s="2" t="n">
        <v>21</v>
      </c>
      <c r="C22" s="2" t="n">
        <v>0</v>
      </c>
      <c r="D22" s="3">
        <f>C22/B22</f>
        <v/>
      </c>
    </row>
    <row r="23">
      <c r="A23" s="8" t="inlineStr">
        <is>
          <t>Armidale</t>
        </is>
      </c>
      <c r="B23" s="2" t="n">
        <v>76</v>
      </c>
      <c r="C23" s="2" t="n">
        <v>0</v>
      </c>
      <c r="D23" s="3">
        <f>C23/B23</f>
        <v/>
      </c>
    </row>
    <row r="24">
      <c r="A24" s="8" t="inlineStr">
        <is>
          <t>Taree</t>
        </is>
      </c>
      <c r="B24" s="2" t="n">
        <v>78</v>
      </c>
      <c r="C24" s="2" t="n">
        <v>0</v>
      </c>
      <c r="D24" s="3">
        <f>C24/B24</f>
        <v/>
      </c>
    </row>
    <row r="25">
      <c r="A25" s="8" t="inlineStr">
        <is>
          <t>Maitland</t>
        </is>
      </c>
      <c r="B25" s="2" t="n">
        <v>16</v>
      </c>
      <c r="C25" s="2" t="n">
        <v>0</v>
      </c>
      <c r="D25" s="3">
        <f>C25/B25</f>
        <v/>
      </c>
    </row>
    <row r="26">
      <c r="A26" s="8" t="inlineStr">
        <is>
          <t>Goulburn</t>
        </is>
      </c>
      <c r="B26" s="2" t="n">
        <v>71</v>
      </c>
      <c r="C26" s="2" t="n">
        <v>0</v>
      </c>
      <c r="D26" s="3">
        <f>C26/B26</f>
        <v/>
      </c>
    </row>
    <row r="27">
      <c r="A27" s="8" t="inlineStr">
        <is>
          <t>Griffith</t>
        </is>
      </c>
      <c r="B27" s="2" t="n">
        <v>32</v>
      </c>
      <c r="C27" s="2" t="n">
        <v>0</v>
      </c>
      <c r="D27" s="3">
        <f>C27/B27</f>
        <v/>
      </c>
    </row>
    <row r="28">
      <c r="A28" s="8" t="inlineStr">
        <is>
          <t>Berowra</t>
        </is>
      </c>
      <c r="B28" s="2" t="n">
        <v>2</v>
      </c>
      <c r="C28" s="2" t="n">
        <v>0</v>
      </c>
      <c r="D28" s="3">
        <f>C28/B28</f>
        <v/>
      </c>
    </row>
    <row r="29">
      <c r="A29" s="8" t="inlineStr">
        <is>
          <t>Thornton</t>
        </is>
      </c>
      <c r="B29" s="2" t="n">
        <v>14</v>
      </c>
      <c r="C29" s="2" t="n">
        <v>0</v>
      </c>
      <c r="D29" s="3">
        <f>C29/B29</f>
        <v/>
      </c>
    </row>
    <row r="30">
      <c r="A30" s="8" t="inlineStr">
        <is>
          <t>Robertson</t>
        </is>
      </c>
      <c r="B30" s="2" t="n">
        <v>5</v>
      </c>
      <c r="C30" s="2" t="n">
        <v>0</v>
      </c>
      <c r="D30" s="3">
        <f>C30/B30</f>
        <v/>
      </c>
    </row>
    <row r="31">
      <c r="A31" s="8" t="inlineStr">
        <is>
          <t>Junee</t>
        </is>
      </c>
      <c r="B31" s="2" t="n">
        <v>1</v>
      </c>
      <c r="C31" s="2" t="n">
        <v>0</v>
      </c>
      <c r="D31" s="3">
        <f>C31/B31</f>
        <v/>
      </c>
    </row>
    <row r="32">
      <c r="A32" s="8" t="inlineStr">
        <is>
          <t>Epping</t>
        </is>
      </c>
      <c r="B32" s="2" t="n">
        <v>12</v>
      </c>
      <c r="C32" s="2" t="n">
        <v>0</v>
      </c>
      <c r="D32" s="3">
        <f>C32/B32</f>
        <v/>
      </c>
    </row>
    <row r="33">
      <c r="A33" s="8" t="inlineStr">
        <is>
          <t>Minto</t>
        </is>
      </c>
      <c r="B33" s="2" t="n">
        <v>59</v>
      </c>
      <c r="C33" s="2" t="n">
        <v>0</v>
      </c>
      <c r="D33" s="3">
        <f>C33/B33</f>
        <v/>
      </c>
    </row>
    <row r="34">
      <c r="A34" s="8" t="inlineStr">
        <is>
          <t>Katoomba</t>
        </is>
      </c>
      <c r="B34" s="2" t="n">
        <v>46</v>
      </c>
      <c r="C34" s="2" t="n">
        <v>0</v>
      </c>
      <c r="D34" s="3">
        <f>C34/B34</f>
        <v/>
      </c>
    </row>
    <row r="35">
      <c r="A35" s="8" t="inlineStr">
        <is>
          <t>Byron Bay</t>
        </is>
      </c>
      <c r="B35" s="2" t="n">
        <v>57</v>
      </c>
      <c r="C35" s="2" t="n">
        <v>0</v>
      </c>
      <c r="D35" s="3">
        <f>C35/B35</f>
        <v/>
      </c>
    </row>
    <row r="36">
      <c r="A36" s="8" t="inlineStr">
        <is>
          <t>Narooma</t>
        </is>
      </c>
      <c r="B36" s="2" t="n">
        <v>49</v>
      </c>
      <c r="C36" s="2" t="n">
        <v>0</v>
      </c>
      <c r="D36" s="3">
        <f>C36/B36</f>
        <v/>
      </c>
    </row>
    <row r="37">
      <c r="A37" s="8" t="inlineStr">
        <is>
          <t>Glenmore Park</t>
        </is>
      </c>
      <c r="B37" s="2" t="n">
        <v>10</v>
      </c>
      <c r="C37" s="2" t="n">
        <v>0</v>
      </c>
      <c r="D37" s="3">
        <f>C37/B37</f>
        <v/>
      </c>
    </row>
    <row r="38">
      <c r="A38" s="8" t="inlineStr">
        <is>
          <t>Tuncurry</t>
        </is>
      </c>
      <c r="B38" s="2" t="n">
        <v>39</v>
      </c>
      <c r="C38" s="2" t="n">
        <v>0</v>
      </c>
      <c r="D38" s="3">
        <f>C38/B38</f>
        <v/>
      </c>
    </row>
    <row r="39">
      <c r="A39" s="8" t="inlineStr">
        <is>
          <t>Richmond</t>
        </is>
      </c>
      <c r="B39" s="2" t="n">
        <v>29</v>
      </c>
      <c r="C39" s="2" t="n">
        <v>0</v>
      </c>
      <c r="D39" s="3">
        <f>C39/B39</f>
        <v/>
      </c>
    </row>
    <row r="40">
      <c r="A40" s="8" t="inlineStr">
        <is>
          <t>Cranebrook</t>
        </is>
      </c>
      <c r="B40" s="2" t="n">
        <v>41</v>
      </c>
      <c r="C40" s="2" t="n">
        <v>0</v>
      </c>
      <c r="D40" s="3">
        <f>C40/B40</f>
        <v/>
      </c>
    </row>
    <row r="41">
      <c r="A41" s="8" t="inlineStr">
        <is>
          <t>Bowral - Mittagong</t>
        </is>
      </c>
      <c r="B41" s="2" t="n">
        <v>22</v>
      </c>
      <c r="C41" s="2" t="n">
        <v>0</v>
      </c>
      <c r="D41" s="3">
        <f>C41/B41</f>
        <v/>
      </c>
    </row>
    <row r="42">
      <c r="A42" s="8" t="inlineStr">
        <is>
          <t>Bellingen</t>
        </is>
      </c>
      <c r="B42" s="2" t="n">
        <v>35</v>
      </c>
      <c r="C42" s="2" t="n">
        <v>0</v>
      </c>
      <c r="D42" s="3">
        <f>C42/B42</f>
        <v/>
      </c>
    </row>
    <row r="43">
      <c r="A43" s="8" t="inlineStr">
        <is>
          <t>Catherine Field</t>
        </is>
      </c>
      <c r="B43" s="2" t="n">
        <v>9</v>
      </c>
      <c r="C43" s="2" t="n">
        <v>0</v>
      </c>
      <c r="D43" s="3">
        <f>C43/B43</f>
        <v/>
      </c>
    </row>
    <row r="44">
      <c r="A44" s="8" t="inlineStr">
        <is>
          <t>Bowral</t>
        </is>
      </c>
      <c r="B44" s="2" t="n">
        <v>8</v>
      </c>
      <c r="C44" s="2" t="n">
        <v>0</v>
      </c>
      <c r="D44" s="3">
        <f>C44/B44</f>
        <v/>
      </c>
    </row>
    <row r="45">
      <c r="A45" s="8" t="inlineStr">
        <is>
          <t>Terrey Hills</t>
        </is>
      </c>
      <c r="B45" s="2" t="n">
        <v>18</v>
      </c>
      <c r="C45" s="2" t="n">
        <v>0</v>
      </c>
      <c r="D45" s="3">
        <f>C45/B45</f>
        <v/>
      </c>
    </row>
    <row r="46">
      <c r="A46" s="8" t="inlineStr">
        <is>
          <t>Casino</t>
        </is>
      </c>
      <c r="B46" s="2" t="n">
        <v>3</v>
      </c>
      <c r="C46" s="2" t="n">
        <v>0</v>
      </c>
      <c r="D46" s="3">
        <f>C46/B46</f>
        <v/>
      </c>
    </row>
    <row r="47">
      <c r="A47" s="8" t="inlineStr">
        <is>
          <t>Wentworth Falls</t>
        </is>
      </c>
      <c r="B47" s="2" t="n">
        <v>31</v>
      </c>
      <c r="C47" s="2" t="n">
        <v>0</v>
      </c>
      <c r="D47" s="3">
        <f>C47/B47</f>
        <v/>
      </c>
    </row>
    <row r="48">
      <c r="A48" s="8" t="inlineStr">
        <is>
          <t>The Council of the Shire of Hornsby</t>
        </is>
      </c>
      <c r="B48" s="2" t="n">
        <v>6</v>
      </c>
      <c r="C48" s="2" t="n">
        <v>0</v>
      </c>
      <c r="D48" s="3">
        <f>C48/B48</f>
        <v/>
      </c>
    </row>
    <row r="49">
      <c r="A49" s="8" t="inlineStr">
        <is>
          <t>Albury</t>
        </is>
      </c>
      <c r="B49" s="2" t="n">
        <v>50</v>
      </c>
      <c r="C49" s="2" t="n">
        <v>0</v>
      </c>
      <c r="D49" s="3">
        <f>C49/B49</f>
        <v/>
      </c>
    </row>
    <row r="50">
      <c r="A50" s="8" t="inlineStr">
        <is>
          <t>Ballina</t>
        </is>
      </c>
      <c r="B50" s="2" t="n">
        <v>20</v>
      </c>
      <c r="C50" s="2" t="n">
        <v>0</v>
      </c>
      <c r="D50" s="3">
        <f>C50/B50</f>
        <v/>
      </c>
    </row>
    <row r="51">
      <c r="A51" s="8" t="inlineStr">
        <is>
          <t>Raymond Terrace</t>
        </is>
      </c>
      <c r="B51" s="2" t="n">
        <v>64</v>
      </c>
      <c r="C51" s="2" t="n">
        <v>0</v>
      </c>
      <c r="D51" s="3">
        <f>C51/B51</f>
        <v/>
      </c>
    </row>
    <row r="52">
      <c r="A52" s="8" t="inlineStr">
        <is>
          <t>Helensburgh</t>
        </is>
      </c>
      <c r="B52" s="2" t="n">
        <v>55</v>
      </c>
      <c r="C52" s="2" t="n">
        <v>0</v>
      </c>
      <c r="D52" s="3">
        <f>C52/B52</f>
        <v/>
      </c>
    </row>
    <row r="53">
      <c r="A53" s="8" t="inlineStr">
        <is>
          <t>Picton</t>
        </is>
      </c>
      <c r="B53" s="2" t="n">
        <v>25</v>
      </c>
      <c r="C53" s="2" t="n">
        <v>0</v>
      </c>
      <c r="D53" s="3">
        <f>C53/B53</f>
        <v/>
      </c>
    </row>
    <row r="54">
      <c r="A54" s="8" t="inlineStr">
        <is>
          <t>Inverell</t>
        </is>
      </c>
      <c r="B54" s="2" t="n">
        <v>23</v>
      </c>
      <c r="C54" s="2" t="n">
        <v>0</v>
      </c>
      <c r="D54" s="3">
        <f>C54/B54</f>
        <v/>
      </c>
    </row>
    <row r="55">
      <c r="A55" s="8" t="inlineStr">
        <is>
          <t>Eden</t>
        </is>
      </c>
      <c r="B55" s="2" t="n">
        <v>30</v>
      </c>
      <c r="C55" s="2" t="n">
        <v>0</v>
      </c>
      <c r="D55" s="3">
        <f>C55/B55</f>
        <v/>
      </c>
    </row>
    <row r="56">
      <c r="A56" s="8" t="inlineStr">
        <is>
          <t>West Wallsend</t>
        </is>
      </c>
      <c r="B56" s="2" t="n">
        <v>61</v>
      </c>
      <c r="C56" s="2" t="n">
        <v>0</v>
      </c>
      <c r="D56" s="3">
        <f>C56/B56</f>
        <v/>
      </c>
    </row>
    <row r="57">
      <c r="A57" s="8" t="inlineStr">
        <is>
          <t>Ku-ring-gai Council</t>
        </is>
      </c>
      <c r="B57" s="2" t="n">
        <v>4</v>
      </c>
      <c r="C57" s="2" t="n">
        <v>0</v>
      </c>
      <c r="D57" s="3">
        <f>C57/B57</f>
        <v/>
      </c>
    </row>
    <row r="58">
      <c r="A58" s="8" t="inlineStr">
        <is>
          <t>Hornsby Heights</t>
        </is>
      </c>
      <c r="B58" s="2" t="n">
        <v>7</v>
      </c>
      <c r="C58" s="2" t="n">
        <v>0</v>
      </c>
      <c r="D58" s="3">
        <f>C58/B58</f>
        <v/>
      </c>
    </row>
    <row r="59">
      <c r="A59" s="8" t="inlineStr">
        <is>
          <t>Tweed Heads</t>
        </is>
      </c>
      <c r="B59" s="2" t="n">
        <v>38</v>
      </c>
      <c r="C59" s="2" t="n">
        <v>0</v>
      </c>
      <c r="D59" s="3">
        <f>C59/B59</f>
        <v/>
      </c>
    </row>
    <row r="60">
      <c r="A60" s="8" t="inlineStr">
        <is>
          <t>Cronulla</t>
        </is>
      </c>
      <c r="B60" s="2" t="n">
        <v>48</v>
      </c>
      <c r="C60" s="2" t="n">
        <v>0</v>
      </c>
      <c r="D60" s="3">
        <f>C60/B60</f>
        <v/>
      </c>
    </row>
    <row r="61">
      <c r="A61" s="8" t="inlineStr">
        <is>
          <t>Sanctuary Point</t>
        </is>
      </c>
      <c r="B61" s="2" t="n">
        <v>40</v>
      </c>
      <c r="C61" s="2" t="n">
        <v>0</v>
      </c>
      <c r="D61" s="3">
        <f>C61/B61</f>
        <v/>
      </c>
    </row>
    <row r="62">
      <c r="A62" s="4" t="inlineStr">
        <is>
          <t>Grand Total</t>
        </is>
      </c>
      <c r="B62" s="5">
        <f>SUM(B2:B61)</f>
        <v/>
      </c>
      <c r="C62" s="5">
        <f>SUM(C2:C61)</f>
        <v/>
      </c>
      <c r="D62" s="6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4399</v>
      </c>
      <c r="C2" s="2" t="n">
        <v>18</v>
      </c>
      <c r="D2" s="3">
        <f>C2/B2</f>
        <v/>
      </c>
    </row>
    <row r="3">
      <c r="A3" s="8" t="inlineStr">
        <is>
          <t>25-34</t>
        </is>
      </c>
      <c r="B3" s="2" t="n">
        <v>6968</v>
      </c>
      <c r="C3" s="2" t="n">
        <v>38</v>
      </c>
      <c r="D3" s="3">
        <f>C3/B3</f>
        <v/>
      </c>
    </row>
    <row r="4">
      <c r="A4" s="8" t="inlineStr">
        <is>
          <t>35-44</t>
        </is>
      </c>
      <c r="B4" s="2" t="n">
        <v>7389</v>
      </c>
      <c r="C4" s="2" t="n">
        <v>40</v>
      </c>
      <c r="D4" s="3">
        <f>C4/B4</f>
        <v/>
      </c>
    </row>
    <row r="5">
      <c r="A5" s="8" t="inlineStr">
        <is>
          <t>45-54</t>
        </is>
      </c>
      <c r="B5" s="2" t="n">
        <v>2468</v>
      </c>
      <c r="C5" s="2" t="n">
        <v>10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13771</v>
      </c>
      <c r="C2" s="2" t="n">
        <v>69</v>
      </c>
      <c r="D2" s="3">
        <f>C2/B2</f>
        <v/>
      </c>
    </row>
    <row r="3">
      <c r="A3" s="8" t="inlineStr">
        <is>
          <t>Female</t>
        </is>
      </c>
      <c r="B3" s="2" t="n">
        <v>7453</v>
      </c>
      <c r="C3" s="2" t="n">
        <v>37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2026-05-25T07:19:52Z</dcterms:created>
  <dcterms:modified xsi:type="dcterms:W3CDTF">2026-05-25T07:19:53Z</dcterms:modified>
</cp:coreProperties>
</file>