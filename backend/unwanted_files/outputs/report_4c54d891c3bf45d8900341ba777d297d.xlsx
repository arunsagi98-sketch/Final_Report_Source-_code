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H" sheetId="1" state="visible" r:id="rId1"/>
    <sheet name="DATE" sheetId="2" state="visible" r:id="rId2"/>
    <sheet name="APP URL" sheetId="3" state="visible" r:id="rId3"/>
    <sheet name="TIME OF DAY" sheetId="4" state="visible" r:id="rId4"/>
    <sheet name="EXCHANGE" sheetId="5" state="visible" r:id="rId5"/>
    <sheet name="DEVICE" sheetId="6" state="visible" r:id="rId6"/>
    <sheet name="CREATIVE" sheetId="7" state="visible" r:id="rId7"/>
    <sheet name="CITY" sheetId="8" state="visible" r:id="rId8"/>
    <sheet name="AGE" sheetId="9" state="visible" r:id="rId9"/>
    <sheet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21224</v>
      </c>
      <c r="B2" s="2" t="n">
        <v>106</v>
      </c>
      <c r="C2" s="3">
        <f>B2/A2</f>
        <v/>
      </c>
      <c r="D2" s="2" t="n">
        <v>7287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18 March, 2026</t>
        </is>
      </c>
      <c r="B2" s="2" t="n">
        <v>1307</v>
      </c>
      <c r="C2" s="2" t="n">
        <v>6</v>
      </c>
      <c r="D2" s="3">
        <f>C2/B2</f>
        <v/>
      </c>
      <c r="E2" s="2" t="n">
        <v>809</v>
      </c>
      <c r="F2" s="2" t="n">
        <v>1177</v>
      </c>
      <c r="G2" s="3">
        <f>E2/F2</f>
        <v/>
      </c>
    </row>
    <row r="3">
      <c r="A3" s="2" t="inlineStr">
        <is>
          <t>19 March, 2026</t>
        </is>
      </c>
      <c r="B3" s="2" t="n">
        <v>1132</v>
      </c>
      <c r="C3" s="2" t="n">
        <v>5</v>
      </c>
      <c r="D3" s="3">
        <f>C3/B3</f>
        <v/>
      </c>
      <c r="E3" s="2" t="n">
        <v>653</v>
      </c>
      <c r="F3" s="2" t="n">
        <v>1067</v>
      </c>
      <c r="G3" s="3">
        <f>E3/F3</f>
        <v/>
      </c>
    </row>
    <row r="4">
      <c r="A4" s="2" t="inlineStr">
        <is>
          <t>20 March, 2026</t>
        </is>
      </c>
      <c r="B4" s="2" t="n">
        <v>1118</v>
      </c>
      <c r="C4" s="2" t="n">
        <v>6</v>
      </c>
      <c r="D4" s="3">
        <f>C4/B4</f>
        <v/>
      </c>
      <c r="E4" s="2" t="n">
        <v>624</v>
      </c>
      <c r="F4" s="2" t="n">
        <v>1008</v>
      </c>
      <c r="G4" s="3">
        <f>E4/F4</f>
        <v/>
      </c>
    </row>
    <row r="5">
      <c r="A5" s="2" t="inlineStr">
        <is>
          <t>21 March, 2026</t>
        </is>
      </c>
      <c r="B5" s="2" t="n">
        <v>1105</v>
      </c>
      <c r="C5" s="2" t="n">
        <v>7</v>
      </c>
      <c r="D5" s="3">
        <f>C5/B5</f>
        <v/>
      </c>
      <c r="E5" s="2" t="n">
        <v>672</v>
      </c>
      <c r="F5" s="2" t="n">
        <v>1028</v>
      </c>
      <c r="G5" s="3">
        <f>E5/F5</f>
        <v/>
      </c>
    </row>
    <row r="6">
      <c r="A6" s="2" t="inlineStr">
        <is>
          <t>22 March, 2026</t>
        </is>
      </c>
      <c r="B6" s="2" t="n">
        <v>1078</v>
      </c>
      <c r="C6" s="2" t="n">
        <v>5</v>
      </c>
      <c r="D6" s="3">
        <f>C6/B6</f>
        <v/>
      </c>
      <c r="E6" s="2" t="n">
        <v>677</v>
      </c>
      <c r="F6" s="2" t="n">
        <v>1019</v>
      </c>
      <c r="G6" s="3">
        <f>E6/F6</f>
        <v/>
      </c>
    </row>
    <row r="7">
      <c r="A7" s="2" t="inlineStr">
        <is>
          <t>23 March, 2026</t>
        </is>
      </c>
      <c r="B7" s="2" t="n">
        <v>1078</v>
      </c>
      <c r="C7" s="2" t="n">
        <v>5</v>
      </c>
      <c r="D7" s="3">
        <f>C7/B7</f>
        <v/>
      </c>
      <c r="E7" s="2" t="n">
        <v>715</v>
      </c>
      <c r="F7" s="2" t="n">
        <v>1009</v>
      </c>
      <c r="G7" s="3">
        <f>E7/F7</f>
        <v/>
      </c>
    </row>
    <row r="8">
      <c r="A8" s="2" t="inlineStr">
        <is>
          <t>24 March, 2026</t>
        </is>
      </c>
      <c r="B8" s="2" t="n">
        <v>1074</v>
      </c>
      <c r="C8" s="2" t="n">
        <v>7</v>
      </c>
      <c r="D8" s="3">
        <f>C8/B8</f>
        <v/>
      </c>
      <c r="E8" s="2" t="n">
        <v>696</v>
      </c>
      <c r="F8" s="2" t="n">
        <v>969</v>
      </c>
      <c r="G8" s="3">
        <f>E8/F8</f>
        <v/>
      </c>
    </row>
    <row r="9">
      <c r="A9" s="2" t="inlineStr">
        <is>
          <t>25 March, 2026</t>
        </is>
      </c>
      <c r="B9" s="2" t="n">
        <v>1061</v>
      </c>
      <c r="C9" s="2" t="n">
        <v>5</v>
      </c>
      <c r="D9" s="3">
        <f>C9/B9</f>
        <v/>
      </c>
      <c r="E9" s="2" t="n">
        <v>649</v>
      </c>
      <c r="F9" s="2" t="n">
        <v>986</v>
      </c>
      <c r="G9" s="3">
        <f>E9/F9</f>
        <v/>
      </c>
    </row>
    <row r="10">
      <c r="A10" s="2" t="inlineStr">
        <is>
          <t>26 March, 2026</t>
        </is>
      </c>
      <c r="B10" s="2" t="n">
        <v>1047</v>
      </c>
      <c r="C10" s="2" t="n">
        <v>5</v>
      </c>
      <c r="D10" s="3">
        <f>C10/B10</f>
        <v/>
      </c>
      <c r="E10" s="2" t="n">
        <v>621</v>
      </c>
      <c r="F10" s="2" t="n">
        <v>978</v>
      </c>
      <c r="G10" s="3">
        <f>E10/F10</f>
        <v/>
      </c>
    </row>
    <row r="11">
      <c r="A11" s="2" t="inlineStr">
        <is>
          <t>27 March, 2026</t>
        </is>
      </c>
      <c r="B11" s="2" t="n">
        <v>1016</v>
      </c>
      <c r="C11" s="2" t="n">
        <v>5</v>
      </c>
      <c r="D11" s="3">
        <f>C11/B11</f>
        <v/>
      </c>
      <c r="E11" s="2" t="n">
        <v>698</v>
      </c>
      <c r="F11" s="2" t="n">
        <v>926</v>
      </c>
      <c r="G11" s="3">
        <f>E11/F11</f>
        <v/>
      </c>
    </row>
    <row r="12">
      <c r="A12" s="2" t="inlineStr">
        <is>
          <t>28 March, 2026</t>
        </is>
      </c>
      <c r="B12" s="2" t="n">
        <v>1008</v>
      </c>
      <c r="C12" s="2" t="n">
        <v>7</v>
      </c>
      <c r="D12" s="3">
        <f>C12/B12</f>
        <v/>
      </c>
      <c r="E12" s="2" t="n">
        <v>571</v>
      </c>
      <c r="F12" s="2" t="n">
        <v>942</v>
      </c>
      <c r="G12" s="3">
        <f>E12/F12</f>
        <v/>
      </c>
    </row>
    <row r="13">
      <c r="A13" s="2" t="inlineStr">
        <is>
          <t>29 March, 2026</t>
        </is>
      </c>
      <c r="B13" s="2" t="n">
        <v>989</v>
      </c>
      <c r="C13" s="2" t="n">
        <v>5</v>
      </c>
      <c r="D13" s="3">
        <f>C13/B13</f>
        <v/>
      </c>
      <c r="E13" s="2" t="n">
        <v>547</v>
      </c>
      <c r="F13" s="2" t="n">
        <v>928</v>
      </c>
      <c r="G13" s="3">
        <f>E13/F13</f>
        <v/>
      </c>
    </row>
    <row r="14">
      <c r="A14" s="2" t="inlineStr">
        <is>
          <t>30 March, 2026</t>
        </is>
      </c>
      <c r="B14" s="2" t="n">
        <v>974</v>
      </c>
      <c r="C14" s="2" t="n">
        <v>5</v>
      </c>
      <c r="D14" s="3">
        <f>C14/B14</f>
        <v/>
      </c>
      <c r="E14" s="2" t="n">
        <v>681</v>
      </c>
      <c r="F14" s="2" t="n">
        <v>918</v>
      </c>
      <c r="G14" s="3">
        <f>E14/F14</f>
        <v/>
      </c>
    </row>
    <row r="15">
      <c r="A15" s="2" t="inlineStr">
        <is>
          <t>31 March, 2026</t>
        </is>
      </c>
      <c r="B15" s="2" t="n">
        <v>959</v>
      </c>
      <c r="C15" s="2" t="n">
        <v>4</v>
      </c>
      <c r="D15" s="3">
        <f>C15/B15</f>
        <v/>
      </c>
      <c r="E15" s="2" t="n">
        <v>633</v>
      </c>
      <c r="F15" s="2" t="n">
        <v>897</v>
      </c>
      <c r="G15" s="3">
        <f>E15/F15</f>
        <v/>
      </c>
    </row>
    <row r="16">
      <c r="A16" s="2" t="inlineStr">
        <is>
          <t>01 April, 2026</t>
        </is>
      </c>
      <c r="B16" s="2" t="n">
        <v>932</v>
      </c>
      <c r="C16" s="2" t="n">
        <v>4</v>
      </c>
      <c r="D16" s="3">
        <f>C16/B16</f>
        <v/>
      </c>
      <c r="E16" s="2" t="n">
        <v>537</v>
      </c>
      <c r="F16" s="2" t="n">
        <v>880</v>
      </c>
      <c r="G16" s="3">
        <f>E16/F16</f>
        <v/>
      </c>
    </row>
    <row r="17">
      <c r="A17" s="2" t="inlineStr">
        <is>
          <t>02 April, 2026</t>
        </is>
      </c>
      <c r="B17" s="2" t="n">
        <v>904</v>
      </c>
      <c r="C17" s="2" t="n">
        <v>4</v>
      </c>
      <c r="D17" s="3">
        <f>C17/B17</f>
        <v/>
      </c>
      <c r="E17" s="2" t="n">
        <v>570</v>
      </c>
      <c r="F17" s="2" t="n">
        <v>816</v>
      </c>
      <c r="G17" s="3">
        <f>E17/F17</f>
        <v/>
      </c>
    </row>
    <row r="18">
      <c r="A18" s="2" t="inlineStr">
        <is>
          <t>03 April, 2026</t>
        </is>
      </c>
      <c r="B18" s="2" t="n">
        <v>877</v>
      </c>
      <c r="C18" s="2" t="n">
        <v>4</v>
      </c>
      <c r="D18" s="3">
        <f>C18/B18</f>
        <v/>
      </c>
      <c r="E18" s="2" t="n">
        <v>578</v>
      </c>
      <c r="F18" s="2" t="n">
        <v>799</v>
      </c>
      <c r="G18" s="3">
        <f>E18/F18</f>
        <v/>
      </c>
    </row>
    <row r="19">
      <c r="A19" s="2" t="inlineStr">
        <is>
          <t>04 April, 2026</t>
        </is>
      </c>
      <c r="B19" s="2" t="n">
        <v>841</v>
      </c>
      <c r="C19" s="2" t="n">
        <v>4</v>
      </c>
      <c r="D19" s="3">
        <f>C19/B19</f>
        <v/>
      </c>
      <c r="E19" s="2" t="n">
        <v>557</v>
      </c>
      <c r="F19" s="2" t="n">
        <v>783</v>
      </c>
      <c r="G19" s="3">
        <f>E19/F19</f>
        <v/>
      </c>
    </row>
    <row r="20">
      <c r="A20" s="2" t="inlineStr">
        <is>
          <t>05 April, 2026</t>
        </is>
      </c>
      <c r="B20" s="2" t="n">
        <v>786</v>
      </c>
      <c r="C20" s="2" t="n">
        <v>3</v>
      </c>
      <c r="D20" s="3">
        <f>C20/B20</f>
        <v/>
      </c>
      <c r="E20" s="2" t="n">
        <v>460</v>
      </c>
      <c r="F20" s="2" t="n">
        <v>736</v>
      </c>
      <c r="G20" s="3">
        <f>E20/F20</f>
        <v/>
      </c>
    </row>
    <row r="21">
      <c r="A21" s="2" t="inlineStr">
        <is>
          <t>06 April, 2026</t>
        </is>
      </c>
      <c r="B21" s="2" t="n">
        <v>754</v>
      </c>
      <c r="C21" s="2" t="n">
        <v>4</v>
      </c>
      <c r="D21" s="3">
        <f>C21/B21</f>
        <v/>
      </c>
      <c r="E21" s="2" t="n">
        <v>433</v>
      </c>
      <c r="F21" s="2" t="n">
        <v>700</v>
      </c>
      <c r="G21" s="3">
        <f>E21/F21</f>
        <v/>
      </c>
    </row>
    <row r="22">
      <c r="A22" s="2" t="inlineStr">
        <is>
          <t>07 April, 2026</t>
        </is>
      </c>
      <c r="B22" s="2" t="n">
        <v>681</v>
      </c>
      <c r="C22" s="2" t="n">
        <v>3</v>
      </c>
      <c r="D22" s="3">
        <f>C22/B22</f>
        <v/>
      </c>
      <c r="E22" s="2" t="n">
        <v>465</v>
      </c>
      <c r="F22" s="2" t="n">
        <v>635</v>
      </c>
      <c r="G22" s="3">
        <f>E22/F22</f>
        <v/>
      </c>
    </row>
    <row r="23">
      <c r="A23" s="2" t="inlineStr">
        <is>
          <t>08 April, 2026</t>
        </is>
      </c>
      <c r="B23" s="2" t="n">
        <v>503</v>
      </c>
      <c r="C23" s="2" t="n">
        <v>3</v>
      </c>
      <c r="D23" s="3">
        <f>C23/B23</f>
        <v/>
      </c>
      <c r="E23" s="2" t="n">
        <v>322</v>
      </c>
      <c r="F23" s="2" t="n">
        <v>455</v>
      </c>
      <c r="G23" s="3">
        <f>E23/F23</f>
        <v/>
      </c>
    </row>
    <row r="24">
      <c r="A24" s="4" t="inlineStr">
        <is>
          <t>Grand Total</t>
        </is>
      </c>
      <c r="B24" s="5">
        <f>SUM(B2:B23)</f>
        <v/>
      </c>
      <c r="C24" s="5">
        <f>SUM(C2:C23)</f>
        <v/>
      </c>
      <c r="D24" s="6">
        <f>C24/B24</f>
        <v/>
      </c>
      <c r="E24" s="5">
        <f>SUM(E2:E23)</f>
        <v/>
      </c>
      <c r="F24" s="5">
        <f>SUM(F2:F23)</f>
        <v/>
      </c>
      <c r="G24" s="6">
        <f>E24/F24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mt.co.kr</t>
        </is>
      </c>
      <c r="B2" s="2" t="n">
        <v>4986</v>
      </c>
      <c r="C2" s="2" t="n">
        <v>28</v>
      </c>
      <c r="D2" s="3">
        <f>C2/B2</f>
        <v/>
      </c>
    </row>
    <row r="3">
      <c r="A3" s="8" t="inlineStr">
        <is>
          <t>조선일보 - android (com.chosunmedia.android)</t>
        </is>
      </c>
      <c r="B3" s="2" t="n">
        <v>1709</v>
      </c>
      <c r="C3" s="2" t="n">
        <v>10</v>
      </c>
      <c r="D3" s="3">
        <f>C3/B3</f>
        <v/>
      </c>
    </row>
    <row r="4">
      <c r="A4" s="8" t="inlineStr">
        <is>
          <t>yna.co.kr</t>
        </is>
      </c>
      <c r="B4" s="2" t="n">
        <v>1696</v>
      </c>
      <c r="C4" s="2" t="n">
        <v>10</v>
      </c>
      <c r="D4" s="3">
        <f>C4/B4</f>
        <v/>
      </c>
    </row>
    <row r="5">
      <c r="A5" s="8" t="inlineStr">
        <is>
          <t>vonnews.co.kr</t>
        </is>
      </c>
      <c r="B5" s="2" t="n">
        <v>1516</v>
      </c>
      <c r="C5" s="2" t="n">
        <v>9</v>
      </c>
      <c r="D5" s="3">
        <f>C5/B5</f>
        <v/>
      </c>
    </row>
    <row r="6">
      <c r="A6" s="8" t="inlineStr">
        <is>
          <t>forum.chosun.com</t>
        </is>
      </c>
      <c r="B6" s="2" t="n">
        <v>1501</v>
      </c>
      <c r="C6" s="2" t="n">
        <v>9</v>
      </c>
      <c r="D6" s="3">
        <f>C6/B6</f>
        <v/>
      </c>
    </row>
    <row r="7">
      <c r="A7" s="8" t="inlineStr">
        <is>
          <t>khan.co.kr</t>
        </is>
      </c>
      <c r="B7" s="2" t="n">
        <v>1422</v>
      </c>
      <c r="C7" s="2" t="n">
        <v>8</v>
      </c>
      <c r="D7" s="3">
        <f>C7/B7</f>
        <v/>
      </c>
    </row>
    <row r="8">
      <c r="A8" s="8" t="inlineStr">
        <is>
          <t>topstarnews.net</t>
        </is>
      </c>
      <c r="B8" s="2" t="n">
        <v>1190</v>
      </c>
      <c r="C8" s="2" t="n">
        <v>7</v>
      </c>
      <c r="D8" s="3">
        <f>C8/B8</f>
        <v/>
      </c>
    </row>
    <row r="9">
      <c r="A9" s="8" t="inlineStr">
        <is>
          <t>news1.kr</t>
        </is>
      </c>
      <c r="B9" s="2" t="n">
        <v>1177</v>
      </c>
      <c r="C9" s="2" t="n">
        <v>6</v>
      </c>
      <c r="D9" s="3">
        <f>C9/B9</f>
        <v/>
      </c>
    </row>
    <row r="10">
      <c r="A10" s="8" t="inlineStr">
        <is>
          <t>fnnews.com</t>
        </is>
      </c>
      <c r="B10" s="2" t="n">
        <v>498</v>
      </c>
      <c r="C10" s="2" t="n">
        <v>3</v>
      </c>
      <c r="D10" s="3">
        <f>C10/B10</f>
        <v/>
      </c>
    </row>
    <row r="11">
      <c r="A11" s="8" t="inlineStr">
        <is>
          <t>goodorder.co.kr</t>
        </is>
      </c>
      <c r="B11" s="2" t="n">
        <v>470</v>
      </c>
      <c r="C11" s="2" t="n">
        <v>2</v>
      </c>
      <c r="D11" s="3">
        <f>C11/B11</f>
        <v/>
      </c>
    </row>
    <row r="12">
      <c r="A12" s="8" t="inlineStr">
        <is>
          <t>marketnews.co.kr</t>
        </is>
      </c>
      <c r="B12" s="2" t="n">
        <v>456</v>
      </c>
      <c r="C12" s="2" t="n">
        <v>2</v>
      </c>
      <c r="D12" s="3">
        <f>C12/B12</f>
        <v/>
      </c>
    </row>
    <row r="13">
      <c r="A13" s="8" t="inlineStr">
        <is>
          <t>tripadvisor.co.kr</t>
        </is>
      </c>
      <c r="B13" s="2" t="n">
        <v>418</v>
      </c>
      <c r="C13" s="2" t="n">
        <v>2</v>
      </c>
      <c r="D13" s="3">
        <f>C13/B13</f>
        <v/>
      </c>
    </row>
    <row r="14">
      <c r="A14" s="8" t="inlineStr">
        <is>
          <t>edaily.co.kr</t>
        </is>
      </c>
      <c r="B14" s="2" t="n">
        <v>363</v>
      </c>
      <c r="C14" s="2" t="n">
        <v>2</v>
      </c>
      <c r="D14" s="3">
        <f>C14/B14</f>
        <v/>
      </c>
    </row>
    <row r="15">
      <c r="A15" s="8" t="inlineStr">
        <is>
          <t>koreatimes.co.kr</t>
        </is>
      </c>
      <c r="B15" s="2" t="n">
        <v>344</v>
      </c>
      <c r="C15" s="2" t="n">
        <v>2</v>
      </c>
      <c r="D15" s="3">
        <f>C15/B15</f>
        <v/>
      </c>
    </row>
    <row r="16">
      <c r="A16" s="8" t="inlineStr">
        <is>
          <t>huffingtonpost.kr</t>
        </is>
      </c>
      <c r="B16" s="2" t="n">
        <v>322</v>
      </c>
      <c r="C16" s="2" t="n">
        <v>2</v>
      </c>
      <c r="D16" s="3">
        <f>C16/B16</f>
        <v/>
      </c>
    </row>
    <row r="17">
      <c r="A17" s="8" t="inlineStr">
        <is>
          <t>autodaily.co.kr</t>
        </is>
      </c>
      <c r="B17" s="2" t="n">
        <v>291</v>
      </c>
      <c r="C17" s="2" t="n">
        <v>1</v>
      </c>
      <c r="D17" s="3">
        <f>C17/B17</f>
        <v/>
      </c>
    </row>
    <row r="18">
      <c r="A18" s="8" t="inlineStr">
        <is>
          <t>mbn.mk.co.kr</t>
        </is>
      </c>
      <c r="B18" s="2" t="n">
        <v>258</v>
      </c>
      <c r="C18" s="2" t="n">
        <v>1</v>
      </c>
      <c r="D18" s="3">
        <f>C18/B18</f>
        <v/>
      </c>
    </row>
    <row r="19">
      <c r="A19" s="8" t="inlineStr">
        <is>
          <t>huria.co.kr</t>
        </is>
      </c>
      <c r="B19" s="2" t="n">
        <v>247</v>
      </c>
      <c r="C19" s="2" t="n">
        <v>1</v>
      </c>
      <c r="D19" s="3">
        <f>C19/B19</f>
        <v/>
      </c>
    </row>
    <row r="20">
      <c r="A20" s="8" t="inlineStr">
        <is>
          <t>bike.bobaedream.co.kr</t>
        </is>
      </c>
      <c r="B20" s="2" t="n">
        <v>215</v>
      </c>
      <c r="C20" s="2" t="n">
        <v>1</v>
      </c>
      <c r="D20" s="3">
        <f>C20/B20</f>
        <v/>
      </c>
    </row>
    <row r="21">
      <c r="A21" s="8" t="inlineStr">
        <is>
          <t>contents.innolife.net</t>
        </is>
      </c>
      <c r="B21" s="2" t="n">
        <v>174</v>
      </c>
      <c r="C21" s="2" t="n">
        <v>0</v>
      </c>
      <c r="D21" s="3">
        <f>C21/B21</f>
        <v/>
      </c>
    </row>
    <row r="22">
      <c r="A22" s="8" t="inlineStr">
        <is>
          <t>heraldcorp.com</t>
        </is>
      </c>
      <c r="B22" s="2" t="n">
        <v>138</v>
      </c>
      <c r="C22" s="2" t="n">
        <v>0</v>
      </c>
      <c r="D22" s="3">
        <f>C22/B22</f>
        <v/>
      </c>
    </row>
    <row r="23">
      <c r="A23" s="8" t="inlineStr">
        <is>
          <t>auto.daum.net</t>
        </is>
      </c>
      <c r="B23" s="2" t="n">
        <v>123</v>
      </c>
      <c r="C23" s="2" t="n">
        <v>0</v>
      </c>
      <c r="D23" s="3">
        <f>C23/B23</f>
        <v/>
      </c>
    </row>
    <row r="24">
      <c r="A24" s="8" t="inlineStr">
        <is>
          <t>news.hankyung.com</t>
        </is>
      </c>
      <c r="B24" s="2" t="n">
        <v>116</v>
      </c>
      <c r="C24" s="2" t="n">
        <v>0</v>
      </c>
      <c r="D24" s="3">
        <f>C24/B24</f>
        <v/>
      </c>
    </row>
    <row r="25">
      <c r="A25" s="8" t="inlineStr">
        <is>
          <t>sbs.co.kr</t>
        </is>
      </c>
      <c r="B25" s="2" t="n">
        <v>106</v>
      </c>
      <c r="C25" s="2" t="n">
        <v>0</v>
      </c>
      <c r="D25" s="3">
        <f>C25/B25</f>
        <v/>
      </c>
    </row>
    <row r="26">
      <c r="A26" s="8" t="inlineStr">
        <is>
          <t>itworld.co.kr</t>
        </is>
      </c>
      <c r="B26" s="2" t="n">
        <v>99</v>
      </c>
      <c r="C26" s="2" t="n">
        <v>0</v>
      </c>
      <c r="D26" s="3">
        <f>C26/B26</f>
        <v/>
      </c>
    </row>
    <row r="27">
      <c r="A27" s="8" t="inlineStr">
        <is>
          <t>ok캐쉬백 [즐거움이 포인트다] - android (com.skmc.okcashbag.home_google)</t>
        </is>
      </c>
      <c r="B27" s="2" t="n">
        <v>91</v>
      </c>
      <c r="C27" s="2" t="n">
        <v>0</v>
      </c>
      <c r="D27" s="3">
        <f>C27/B27</f>
        <v/>
      </c>
    </row>
    <row r="28">
      <c r="A28" s="8" t="inlineStr">
        <is>
          <t>insight.co.kr</t>
        </is>
      </c>
      <c r="B28" s="2" t="n">
        <v>84</v>
      </c>
      <c r="C28" s="2" t="n">
        <v>0</v>
      </c>
      <c r="D28" s="3">
        <f>C28/B28</f>
        <v/>
      </c>
    </row>
    <row r="29">
      <c r="A29" s="8" t="inlineStr">
        <is>
          <t>globaljobs.co.kr</t>
        </is>
      </c>
      <c r="B29" s="2" t="n">
        <v>80</v>
      </c>
      <c r="C29" s="2" t="n">
        <v>0</v>
      </c>
      <c r="D29" s="3">
        <f>C29/B29</f>
        <v/>
      </c>
    </row>
    <row r="30">
      <c r="A30" s="8" t="inlineStr">
        <is>
          <t>sports.mk.co.kr</t>
        </is>
      </c>
      <c r="B30" s="2" t="n">
        <v>76</v>
      </c>
      <c r="C30" s="2" t="n">
        <v>0</v>
      </c>
      <c r="D30" s="3">
        <f>C30/B30</f>
        <v/>
      </c>
    </row>
    <row r="31">
      <c r="A31" s="8" t="inlineStr">
        <is>
          <t>bosa.co.kr</t>
        </is>
      </c>
      <c r="B31" s="2" t="n">
        <v>71</v>
      </c>
      <c r="C31" s="2" t="n">
        <v>0</v>
      </c>
      <c r="D31" s="3">
        <f>C31/B31</f>
        <v/>
      </c>
    </row>
    <row r="32">
      <c r="A32" s="8" t="inlineStr">
        <is>
          <t>businesspost.co.kr</t>
        </is>
      </c>
      <c r="B32" s="2" t="n">
        <v>68</v>
      </c>
      <c r="C32" s="2" t="n">
        <v>0</v>
      </c>
      <c r="D32" s="3">
        <f>C32/B32</f>
        <v/>
      </c>
    </row>
    <row r="33">
      <c r="A33" s="8" t="inlineStr">
        <is>
          <t>zinmovie.co.kr</t>
        </is>
      </c>
      <c r="B33" s="2" t="n">
        <v>65</v>
      </c>
      <c r="C33" s="2" t="n">
        <v>0</v>
      </c>
      <c r="D33" s="3">
        <f>C33/B33</f>
        <v/>
      </c>
    </row>
    <row r="34">
      <c r="A34" s="8" t="inlineStr">
        <is>
          <t>koreantoday.com.au</t>
        </is>
      </c>
      <c r="B34" s="2" t="n">
        <v>63</v>
      </c>
      <c r="C34" s="2" t="n">
        <v>0</v>
      </c>
      <c r="D34" s="3">
        <f>C34/B34</f>
        <v/>
      </c>
    </row>
    <row r="35">
      <c r="A35" s="8" t="inlineStr">
        <is>
          <t>koreatimes.com</t>
        </is>
      </c>
      <c r="B35" s="2" t="n">
        <v>61</v>
      </c>
      <c r="C35" s="2" t="n">
        <v>0</v>
      </c>
      <c r="D35" s="3">
        <f>C35/B35</f>
        <v/>
      </c>
    </row>
    <row r="36">
      <c r="A36" s="8" t="inlineStr">
        <is>
          <t>hankooki.com</t>
        </is>
      </c>
      <c r="B36" s="2" t="n">
        <v>58</v>
      </c>
      <c r="C36" s="2" t="n">
        <v>0</v>
      </c>
      <c r="D36" s="3">
        <f>C36/B36</f>
        <v/>
      </c>
    </row>
    <row r="37">
      <c r="A37" s="8" t="inlineStr">
        <is>
          <t>playdb.co.kr</t>
        </is>
      </c>
      <c r="B37" s="2" t="n">
        <v>56</v>
      </c>
      <c r="C37" s="2" t="n">
        <v>0</v>
      </c>
      <c r="D37" s="3">
        <f>C37/B37</f>
        <v/>
      </c>
    </row>
    <row r="38">
      <c r="A38" s="8" t="inlineStr">
        <is>
          <t>tvdaily.co.kr</t>
        </is>
      </c>
      <c r="B38" s="2" t="n">
        <v>54</v>
      </c>
      <c r="C38" s="2" t="n">
        <v>0</v>
      </c>
      <c r="D38" s="3">
        <f>C38/B38</f>
        <v/>
      </c>
    </row>
    <row r="39">
      <c r="A39" s="8" t="inlineStr">
        <is>
          <t>mksports.co.kr</t>
        </is>
      </c>
      <c r="B39" s="2" t="n">
        <v>52</v>
      </c>
      <c r="C39" s="2" t="n">
        <v>0</v>
      </c>
      <c r="D39" s="3">
        <f>C39/B39</f>
        <v/>
      </c>
    </row>
    <row r="40">
      <c r="A40" s="8" t="inlineStr">
        <is>
          <t>tving.com</t>
        </is>
      </c>
      <c r="B40" s="2" t="n">
        <v>50</v>
      </c>
      <c r="C40" s="2" t="n">
        <v>0</v>
      </c>
      <c r="D40" s="3">
        <f>C40/B40</f>
        <v/>
      </c>
    </row>
    <row r="41">
      <c r="A41" s="8" t="inlineStr">
        <is>
          <t>nbnnews.co.kr</t>
        </is>
      </c>
      <c r="B41" s="2" t="n">
        <v>47</v>
      </c>
      <c r="C41" s="2" t="n">
        <v>0</v>
      </c>
      <c r="D41" s="3">
        <f>C41/B41</f>
        <v/>
      </c>
    </row>
    <row r="42">
      <c r="A42" s="8" t="inlineStr">
        <is>
          <t>pressian.com</t>
        </is>
      </c>
      <c r="B42" s="2" t="n">
        <v>45</v>
      </c>
      <c r="C42" s="2" t="n">
        <v>0</v>
      </c>
      <c r="D42" s="3">
        <f>C42/B42</f>
        <v/>
      </c>
    </row>
    <row r="43">
      <c r="A43" s="8" t="inlineStr">
        <is>
          <t>bbs.moneta.co.kr</t>
        </is>
      </c>
      <c r="B43" s="2" t="n">
        <v>43</v>
      </c>
      <c r="C43" s="2" t="n">
        <v>0</v>
      </c>
      <c r="D43" s="3">
        <f>C43/B43</f>
        <v/>
      </c>
    </row>
    <row r="44">
      <c r="A44" s="8" t="inlineStr">
        <is>
          <t>incruit.com</t>
        </is>
      </c>
      <c r="B44" s="2" t="n">
        <v>40</v>
      </c>
      <c r="C44" s="2" t="n">
        <v>0</v>
      </c>
      <c r="D44" s="3">
        <f>C44/B44</f>
        <v/>
      </c>
    </row>
    <row r="45">
      <c r="A45" s="8" t="inlineStr">
        <is>
          <t>sports.chosun.com</t>
        </is>
      </c>
      <c r="B45" s="2" t="n">
        <v>37</v>
      </c>
      <c r="C45" s="2" t="n">
        <v>0</v>
      </c>
      <c r="D45" s="3">
        <f>C45/B45</f>
        <v/>
      </c>
    </row>
    <row r="46">
      <c r="A46" s="8" t="inlineStr">
        <is>
          <t>kookje.co.kr</t>
        </is>
      </c>
      <c r="B46" s="2" t="n">
        <v>34</v>
      </c>
      <c r="C46" s="2" t="n">
        <v>0</v>
      </c>
      <c r="D46" s="3">
        <f>C46/B46</f>
        <v/>
      </c>
    </row>
    <row r="47">
      <c r="A47" s="8" t="inlineStr">
        <is>
          <t>maxmovie.com</t>
        </is>
      </c>
      <c r="B47" s="2" t="n">
        <v>31</v>
      </c>
      <c r="C47" s="2" t="n">
        <v>0</v>
      </c>
      <c r="D47" s="3">
        <f>C47/B47</f>
        <v/>
      </c>
    </row>
    <row r="48">
      <c r="A48" s="8" t="inlineStr">
        <is>
          <t>getnews.co.kr</t>
        </is>
      </c>
      <c r="B48" s="2" t="n">
        <v>29</v>
      </c>
      <c r="C48" s="2" t="n">
        <v>0</v>
      </c>
      <c r="D48" s="3">
        <f>C48/B48</f>
        <v/>
      </c>
    </row>
    <row r="49">
      <c r="A49" s="8" t="inlineStr">
        <is>
          <t>곰tv - tv다시보기/최신영화/드라마 - android (com.gretech.gomtv)</t>
        </is>
      </c>
      <c r="B49" s="2" t="n">
        <v>27</v>
      </c>
      <c r="C49" s="2" t="n">
        <v>0</v>
      </c>
      <c r="D49" s="3">
        <f>C49/B49</f>
        <v/>
      </c>
    </row>
    <row r="50">
      <c r="A50" s="8" t="inlineStr">
        <is>
          <t>hanhodaily.com</t>
        </is>
      </c>
      <c r="B50" s="2" t="n">
        <v>25</v>
      </c>
      <c r="C50" s="2" t="n">
        <v>0</v>
      </c>
      <c r="D50" s="3">
        <f>C50/B50</f>
        <v/>
      </c>
    </row>
    <row r="51">
      <c r="A51" s="8" t="inlineStr">
        <is>
          <t>koreatimes.net</t>
        </is>
      </c>
      <c r="B51" s="2" t="n">
        <v>22</v>
      </c>
      <c r="C51" s="2" t="n">
        <v>0</v>
      </c>
      <c r="D51" s="3">
        <f>C51/B51</f>
        <v/>
      </c>
    </row>
    <row r="52">
      <c r="A52" s="8" t="inlineStr">
        <is>
          <t>expedia.co.kr</t>
        </is>
      </c>
      <c r="B52" s="2" t="n">
        <v>20</v>
      </c>
      <c r="C52" s="2" t="n">
        <v>0</v>
      </c>
      <c r="D52" s="3">
        <f>C52/B52</f>
        <v/>
      </c>
    </row>
    <row r="53">
      <c r="A53" s="8" t="inlineStr">
        <is>
          <t>health.chosun.com</t>
        </is>
      </c>
      <c r="B53" s="2" t="n">
        <v>17</v>
      </c>
      <c r="C53" s="2" t="n">
        <v>0</v>
      </c>
      <c r="D53" s="3">
        <f>C53/B53</f>
        <v/>
      </c>
    </row>
    <row r="54">
      <c r="A54" s="8" t="inlineStr">
        <is>
          <t>sportsseoul.com</t>
        </is>
      </c>
      <c r="B54" s="2" t="n">
        <v>14</v>
      </c>
      <c r="C54" s="2" t="n">
        <v>0</v>
      </c>
      <c r="D54" s="3">
        <f>C54/B54</f>
        <v/>
      </c>
    </row>
    <row r="55">
      <c r="A55" s="8" t="inlineStr">
        <is>
          <t>koreanherald.com.au</t>
        </is>
      </c>
      <c r="B55" s="2" t="n">
        <v>11</v>
      </c>
      <c r="C55" s="2" t="n">
        <v>0</v>
      </c>
      <c r="D55" s="3">
        <f>C55/B55</f>
        <v/>
      </c>
    </row>
    <row r="56">
      <c r="A56" s="8" t="inlineStr">
        <is>
          <t>zdnet.co.kr</t>
        </is>
      </c>
      <c r="B56" s="2" t="n">
        <v>8</v>
      </c>
      <c r="C56" s="2" t="n">
        <v>0</v>
      </c>
      <c r="D56" s="3">
        <f>C56/B56</f>
        <v/>
      </c>
    </row>
    <row r="57">
      <c r="A57" s="8" t="inlineStr">
        <is>
          <t>bloter.net</t>
        </is>
      </c>
      <c r="B57" s="2" t="n">
        <v>6</v>
      </c>
      <c r="C57" s="2" t="n">
        <v>0</v>
      </c>
      <c r="D57" s="3">
        <f>C57/B57</f>
        <v/>
      </c>
    </row>
    <row r="58">
      <c r="A58" s="8" t="inlineStr">
        <is>
          <t>nbntv.co.kr</t>
        </is>
      </c>
      <c r="B58" s="2" t="n">
        <v>3</v>
      </c>
      <c r="C58" s="2" t="n">
        <v>0</v>
      </c>
      <c r="D58" s="3">
        <f>C58/B58</f>
        <v/>
      </c>
    </row>
    <row r="59">
      <c r="A59" s="8" t="inlineStr">
        <is>
          <t>joins.com</t>
        </is>
      </c>
      <c r="B59" s="2" t="n">
        <v>1</v>
      </c>
      <c r="C59" s="2" t="n">
        <v>0</v>
      </c>
      <c r="D59" s="3">
        <f>C59/B59</f>
        <v/>
      </c>
    </row>
    <row r="60">
      <c r="A60" s="4" t="inlineStr">
        <is>
          <t>Grand Total</t>
        </is>
      </c>
      <c r="B60" s="5">
        <f>SUM(B2:B59)</f>
        <v/>
      </c>
      <c r="C60" s="5">
        <f>SUM(C2:C59)</f>
        <v/>
      </c>
      <c r="D60" s="6">
        <f>C60/B60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292</v>
      </c>
      <c r="C2" s="2" t="n">
        <v>2</v>
      </c>
      <c r="D2" s="3">
        <f>C2/B2</f>
        <v/>
      </c>
    </row>
    <row r="3">
      <c r="A3" s="8" t="n">
        <v>1</v>
      </c>
      <c r="B3" s="2" t="n">
        <v>218</v>
      </c>
      <c r="C3" s="2" t="n">
        <v>1</v>
      </c>
      <c r="D3" s="3">
        <f>C3/B3</f>
        <v/>
      </c>
    </row>
    <row r="4">
      <c r="A4" s="8" t="n">
        <v>2</v>
      </c>
      <c r="B4" s="2" t="n">
        <v>190</v>
      </c>
      <c r="C4" s="2" t="n">
        <v>1</v>
      </c>
      <c r="D4" s="3">
        <f>C4/B4</f>
        <v/>
      </c>
    </row>
    <row r="5">
      <c r="A5" s="8" t="n">
        <v>3</v>
      </c>
      <c r="B5" s="2" t="n">
        <v>195</v>
      </c>
      <c r="C5" s="2" t="n">
        <v>1</v>
      </c>
      <c r="D5" s="3">
        <f>C5/B5</f>
        <v/>
      </c>
    </row>
    <row r="6">
      <c r="A6" s="8" t="n">
        <v>4</v>
      </c>
      <c r="B6" s="2" t="n">
        <v>205</v>
      </c>
      <c r="C6" s="2" t="n">
        <v>1</v>
      </c>
      <c r="D6" s="3">
        <f>C6/B6</f>
        <v/>
      </c>
    </row>
    <row r="7">
      <c r="A7" s="8" t="n">
        <v>5</v>
      </c>
      <c r="B7" s="2" t="n">
        <v>428</v>
      </c>
      <c r="C7" s="2" t="n">
        <v>2</v>
      </c>
      <c r="D7" s="3">
        <f>C7/B7</f>
        <v/>
      </c>
    </row>
    <row r="8">
      <c r="A8" s="8" t="n">
        <v>6</v>
      </c>
      <c r="B8" s="2" t="n">
        <v>735</v>
      </c>
      <c r="C8" s="2" t="n">
        <v>3</v>
      </c>
      <c r="D8" s="3">
        <f>C8/B8</f>
        <v/>
      </c>
    </row>
    <row r="9">
      <c r="A9" s="8" t="n">
        <v>7</v>
      </c>
      <c r="B9" s="2" t="n">
        <v>746</v>
      </c>
      <c r="C9" s="2" t="n">
        <v>4</v>
      </c>
      <c r="D9" s="3">
        <f>C9/B9</f>
        <v/>
      </c>
    </row>
    <row r="10">
      <c r="A10" s="8" t="n">
        <v>8</v>
      </c>
      <c r="B10" s="2" t="n">
        <v>1003</v>
      </c>
      <c r="C10" s="2" t="n">
        <v>5</v>
      </c>
      <c r="D10" s="3">
        <f>C10/B10</f>
        <v/>
      </c>
    </row>
    <row r="11">
      <c r="A11" s="8" t="n">
        <v>9</v>
      </c>
      <c r="B11" s="2" t="n">
        <v>1314</v>
      </c>
      <c r="C11" s="2" t="n">
        <v>7</v>
      </c>
      <c r="D11" s="3">
        <f>C11/B11</f>
        <v/>
      </c>
    </row>
    <row r="12">
      <c r="A12" s="8" t="n">
        <v>10</v>
      </c>
      <c r="B12" s="2" t="n">
        <v>1355</v>
      </c>
      <c r="C12" s="2" t="n">
        <v>7</v>
      </c>
      <c r="D12" s="3">
        <f>C12/B12</f>
        <v/>
      </c>
    </row>
    <row r="13">
      <c r="A13" s="8" t="n">
        <v>11</v>
      </c>
      <c r="B13" s="2" t="n">
        <v>1277</v>
      </c>
      <c r="C13" s="2" t="n">
        <v>7</v>
      </c>
      <c r="D13" s="3">
        <f>C13/B13</f>
        <v/>
      </c>
    </row>
    <row r="14">
      <c r="A14" s="8" t="n">
        <v>12</v>
      </c>
      <c r="B14" s="2" t="n">
        <v>1292</v>
      </c>
      <c r="C14" s="2" t="n">
        <v>7</v>
      </c>
      <c r="D14" s="3">
        <f>C14/B14</f>
        <v/>
      </c>
    </row>
    <row r="15">
      <c r="A15" s="8" t="n">
        <v>13</v>
      </c>
      <c r="B15" s="2" t="n">
        <v>1112</v>
      </c>
      <c r="C15" s="2" t="n">
        <v>5</v>
      </c>
      <c r="D15" s="3">
        <f>C15/B15</f>
        <v/>
      </c>
    </row>
    <row r="16">
      <c r="A16" s="8" t="n">
        <v>14</v>
      </c>
      <c r="B16" s="2" t="n">
        <v>1032</v>
      </c>
      <c r="C16" s="2" t="n">
        <v>5</v>
      </c>
      <c r="D16" s="3">
        <f>C16/B16</f>
        <v/>
      </c>
    </row>
    <row r="17">
      <c r="A17" s="8" t="n">
        <v>15</v>
      </c>
      <c r="B17" s="2" t="n">
        <v>848</v>
      </c>
      <c r="C17" s="2" t="n">
        <v>4</v>
      </c>
      <c r="D17" s="3">
        <f>C17/B17</f>
        <v/>
      </c>
    </row>
    <row r="18">
      <c r="A18" s="8" t="n">
        <v>16</v>
      </c>
      <c r="B18" s="2" t="n">
        <v>1160</v>
      </c>
      <c r="C18" s="2" t="n">
        <v>5</v>
      </c>
      <c r="D18" s="3">
        <f>C18/B18</f>
        <v/>
      </c>
    </row>
    <row r="19">
      <c r="A19" s="8" t="n">
        <v>17</v>
      </c>
      <c r="B19" s="2" t="n">
        <v>1360</v>
      </c>
      <c r="C19" s="2" t="n">
        <v>7</v>
      </c>
      <c r="D19" s="3">
        <f>C19/B19</f>
        <v/>
      </c>
    </row>
    <row r="20">
      <c r="A20" s="8" t="n">
        <v>18</v>
      </c>
      <c r="B20" s="2" t="n">
        <v>1738</v>
      </c>
      <c r="C20" s="2" t="n">
        <v>9</v>
      </c>
      <c r="D20" s="3">
        <f>C20/B20</f>
        <v/>
      </c>
    </row>
    <row r="21">
      <c r="A21" s="8" t="n">
        <v>19</v>
      </c>
      <c r="B21" s="2" t="n">
        <v>1652</v>
      </c>
      <c r="C21" s="2" t="n">
        <v>9</v>
      </c>
      <c r="D21" s="3">
        <f>C21/B21</f>
        <v/>
      </c>
    </row>
    <row r="22">
      <c r="A22" s="8" t="n">
        <v>20</v>
      </c>
      <c r="B22" s="2" t="n">
        <v>1071</v>
      </c>
      <c r="C22" s="2" t="n">
        <v>5</v>
      </c>
      <c r="D22" s="3">
        <f>C22/B22</f>
        <v/>
      </c>
    </row>
    <row r="23">
      <c r="A23" s="8" t="n">
        <v>21</v>
      </c>
      <c r="B23" s="2" t="n">
        <v>840</v>
      </c>
      <c r="C23" s="2" t="n">
        <v>4</v>
      </c>
      <c r="D23" s="3">
        <f>C23/B23</f>
        <v/>
      </c>
    </row>
    <row r="24">
      <c r="A24" s="8" t="n">
        <v>22</v>
      </c>
      <c r="B24" s="2" t="n">
        <v>649</v>
      </c>
      <c r="C24" s="2" t="n">
        <v>3</v>
      </c>
      <c r="D24" s="3">
        <f>C24/B24</f>
        <v/>
      </c>
    </row>
    <row r="25">
      <c r="A25" s="8" t="n">
        <v>23</v>
      </c>
      <c r="B25" s="2" t="n">
        <v>512</v>
      </c>
      <c r="C25" s="2" t="n">
        <v>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61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1614</v>
      </c>
      <c r="C3" s="2" t="n">
        <v>8</v>
      </c>
      <c r="D3" s="3">
        <f>C3/B3</f>
        <v/>
      </c>
    </row>
    <row r="4">
      <c r="A4" s="8" t="inlineStr">
        <is>
          <t>Criteo Commerce Grid</t>
        </is>
      </c>
      <c r="B4" s="2" t="n">
        <v>1022</v>
      </c>
      <c r="C4" s="2" t="n">
        <v>6</v>
      </c>
      <c r="D4" s="3">
        <f>C4/B4</f>
        <v/>
      </c>
    </row>
    <row r="5">
      <c r="A5" s="8" t="inlineStr">
        <is>
          <t>Epsilon Core Private Exchange</t>
        </is>
      </c>
      <c r="B5" s="2" t="n">
        <v>714</v>
      </c>
      <c r="C5" s="2" t="n">
        <v>4</v>
      </c>
      <c r="D5" s="3">
        <f>C5/B5</f>
        <v/>
      </c>
    </row>
    <row r="6">
      <c r="A6" s="8" t="inlineStr">
        <is>
          <t>Equativ</t>
        </is>
      </c>
      <c r="B6" s="2" t="n">
        <v>35</v>
      </c>
      <c r="C6" s="2" t="n">
        <v>0</v>
      </c>
      <c r="D6" s="3">
        <f>C6/B6</f>
        <v/>
      </c>
    </row>
    <row r="7">
      <c r="A7" s="8" t="inlineStr">
        <is>
          <t>Google Ad Manager</t>
        </is>
      </c>
      <c r="B7" s="2" t="n">
        <v>6363</v>
      </c>
      <c r="C7" s="2" t="n">
        <v>30</v>
      </c>
      <c r="D7" s="3">
        <f>C7/B7</f>
        <v/>
      </c>
    </row>
    <row r="8">
      <c r="A8" s="8" t="inlineStr">
        <is>
          <t>GumGum</t>
        </is>
      </c>
      <c r="B8" s="2" t="n">
        <v>33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66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75</v>
      </c>
      <c r="C10" s="2" t="n">
        <v>0</v>
      </c>
      <c r="D10" s="3">
        <f>C10/B10</f>
        <v/>
      </c>
    </row>
    <row r="11">
      <c r="A11" s="8" t="inlineStr">
        <is>
          <t>Index Exchange</t>
        </is>
      </c>
      <c r="B11" s="2" t="n">
        <v>2040</v>
      </c>
      <c r="C11" s="2" t="n">
        <v>9</v>
      </c>
      <c r="D11" s="3">
        <f>C11/B11</f>
        <v/>
      </c>
    </row>
    <row r="12">
      <c r="A12" s="8" t="inlineStr">
        <is>
          <t>Kargo</t>
        </is>
      </c>
      <c r="B12" s="2" t="n">
        <v>150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3494</v>
      </c>
      <c r="C13" s="2" t="n">
        <v>17</v>
      </c>
      <c r="D13" s="3">
        <f>C13/B13</f>
        <v/>
      </c>
    </row>
    <row r="14">
      <c r="A14" s="8" t="inlineStr">
        <is>
          <t>Media.net</t>
        </is>
      </c>
      <c r="B14" s="2" t="n">
        <v>178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63</v>
      </c>
      <c r="C15" s="2" t="n">
        <v>0</v>
      </c>
      <c r="D15" s="3">
        <f>C15/B15</f>
        <v/>
      </c>
    </row>
    <row r="16">
      <c r="A16" s="8" t="inlineStr">
        <is>
          <t>Nexxen (fka Unruly)</t>
        </is>
      </c>
      <c r="B16" s="2" t="n">
        <v>145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240</v>
      </c>
      <c r="C17" s="2" t="n">
        <v>1</v>
      </c>
      <c r="D17" s="3">
        <f>C17/B17</f>
        <v/>
      </c>
    </row>
    <row r="18">
      <c r="A18" s="8" t="inlineStr">
        <is>
          <t>PubMatic</t>
        </is>
      </c>
      <c r="B18" s="2" t="n">
        <v>3616</v>
      </c>
      <c r="C18" s="2" t="n">
        <v>24</v>
      </c>
      <c r="D18" s="3">
        <f>C18/B18</f>
        <v/>
      </c>
    </row>
    <row r="19">
      <c r="A19" s="8" t="inlineStr">
        <is>
          <t>Sovrn</t>
        </is>
      </c>
      <c r="B19" s="2" t="n">
        <v>301</v>
      </c>
      <c r="C19" s="2" t="n">
        <v>1</v>
      </c>
      <c r="D19" s="3">
        <f>C19/B19</f>
        <v/>
      </c>
    </row>
    <row r="20">
      <c r="A20" s="8" t="inlineStr">
        <is>
          <t>TeadsTv</t>
        </is>
      </c>
      <c r="B20" s="2" t="n">
        <v>88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408</v>
      </c>
      <c r="C21" s="2" t="n">
        <v>3</v>
      </c>
      <c r="D21" s="3">
        <f>C21/B21</f>
        <v/>
      </c>
    </row>
    <row r="22">
      <c r="A22" s="8" t="inlineStr">
        <is>
          <t>Yieldmo</t>
        </is>
      </c>
      <c r="B22" s="2" t="n">
        <v>518</v>
      </c>
      <c r="C22" s="2" t="n">
        <v>3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9759</v>
      </c>
      <c r="C2" s="2" t="n">
        <v>38</v>
      </c>
      <c r="D2" s="3">
        <f>C2/B2</f>
        <v/>
      </c>
    </row>
    <row r="3">
      <c r="A3" s="8" t="inlineStr">
        <is>
          <t>Smart Phone</t>
        </is>
      </c>
      <c r="B3" s="2" t="n">
        <v>9959</v>
      </c>
      <c r="C3" s="2" t="n">
        <v>59</v>
      </c>
      <c r="D3" s="3">
        <f>C3/B3</f>
        <v/>
      </c>
    </row>
    <row r="4">
      <c r="A4" s="8" t="inlineStr">
        <is>
          <t>Tablet</t>
        </is>
      </c>
      <c r="B4" s="2" t="n">
        <v>1506</v>
      </c>
      <c r="C4" s="2" t="n">
        <v>9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CA01468_Korean_Banner_160x600</t>
        </is>
      </c>
      <c r="B2" s="2" t="n">
        <v>1910</v>
      </c>
      <c r="C2" s="2" t="n">
        <v>11</v>
      </c>
      <c r="D2" s="3">
        <f>C2/B2</f>
        <v/>
      </c>
    </row>
    <row r="3">
      <c r="A3" s="8" t="inlineStr">
        <is>
          <t>CA01468_Korean_Banner_300x250</t>
        </is>
      </c>
      <c r="B3" s="2" t="n">
        <v>5363</v>
      </c>
      <c r="C3" s="2" t="n">
        <v>24</v>
      </c>
      <c r="D3" s="3">
        <f>C3/B3</f>
        <v/>
      </c>
    </row>
    <row r="4">
      <c r="A4" s="8" t="inlineStr">
        <is>
          <t>CA01468_Korean_Banner_300x600</t>
        </is>
      </c>
      <c r="B4" s="2" t="n">
        <v>2483</v>
      </c>
      <c r="C4" s="2" t="n">
        <v>11</v>
      </c>
      <c r="D4" s="3">
        <f>C4/B4</f>
        <v/>
      </c>
    </row>
    <row r="5">
      <c r="A5" s="8" t="inlineStr">
        <is>
          <t>CA01468_Korean_Banner_320x50</t>
        </is>
      </c>
      <c r="B5" s="2" t="n">
        <v>9645</v>
      </c>
      <c r="C5" s="2" t="n">
        <v>50</v>
      </c>
      <c r="D5" s="3">
        <f>C5/B5</f>
        <v/>
      </c>
    </row>
    <row r="6">
      <c r="A6" s="8" t="inlineStr">
        <is>
          <t>CA01468_Korean_Banner_728x90</t>
        </is>
      </c>
      <c r="B6" s="2" t="n">
        <v>1823</v>
      </c>
      <c r="C6" s="2" t="n">
        <v>10</v>
      </c>
      <c r="D6" s="3">
        <f>C6/B6</f>
        <v/>
      </c>
    </row>
    <row r="7">
      <c r="A7" s="4" t="inlineStr">
        <is>
          <t>Grand Total</t>
        </is>
      </c>
      <c r="B7" s="5">
        <f>SUM(B2:B6)</f>
        <v/>
      </c>
      <c r="C7" s="5">
        <f>SUM(C2:C6)</f>
        <v/>
      </c>
      <c r="D7" s="6">
        <f>C7/B7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Sydney</t>
        </is>
      </c>
      <c r="B2" s="2" t="n">
        <v>9036</v>
      </c>
      <c r="C2" s="2" t="n">
        <v>38</v>
      </c>
      <c r="D2" s="3">
        <f>C2/B2</f>
        <v/>
      </c>
    </row>
    <row r="3">
      <c r="A3" s="8" t="inlineStr">
        <is>
          <t>Melbourne</t>
        </is>
      </c>
      <c r="B3" s="2" t="n">
        <v>3602</v>
      </c>
      <c r="C3" s="2" t="n">
        <v>13</v>
      </c>
      <c r="D3" s="3">
        <f>C3/B3</f>
        <v/>
      </c>
    </row>
    <row r="4">
      <c r="A4" s="8" t="inlineStr">
        <is>
          <t>Brisbane</t>
        </is>
      </c>
      <c r="B4" s="2" t="n">
        <v>3289</v>
      </c>
      <c r="C4" s="2" t="n">
        <v>12</v>
      </c>
      <c r="D4" s="3">
        <f>C4/B4</f>
        <v/>
      </c>
    </row>
    <row r="5">
      <c r="A5" s="8" t="inlineStr">
        <is>
          <t>Perth</t>
        </is>
      </c>
      <c r="B5" s="2" t="n">
        <v>1317</v>
      </c>
      <c r="C5" s="2" t="n">
        <v>6</v>
      </c>
      <c r="D5" s="3">
        <f>C5/B5</f>
        <v/>
      </c>
    </row>
    <row r="6">
      <c r="A6" s="8" t="inlineStr">
        <is>
          <t>Adelaide</t>
        </is>
      </c>
      <c r="B6" s="2" t="n">
        <v>710</v>
      </c>
      <c r="C6" s="2" t="n">
        <v>4</v>
      </c>
      <c r="D6" s="3">
        <f>C6/B6</f>
        <v/>
      </c>
    </row>
    <row r="7">
      <c r="A7" s="8" t="inlineStr">
        <is>
          <t>Gold Coast</t>
        </is>
      </c>
      <c r="B7" s="2" t="n">
        <v>391</v>
      </c>
      <c r="C7" s="2" t="n">
        <v>2</v>
      </c>
      <c r="D7" s="3">
        <f>C7/B7</f>
        <v/>
      </c>
    </row>
    <row r="8">
      <c r="A8" s="8" t="inlineStr">
        <is>
          <t>Canberra</t>
        </is>
      </c>
      <c r="B8" s="2" t="n">
        <v>201</v>
      </c>
      <c r="C8" s="2" t="n">
        <v>1</v>
      </c>
      <c r="D8" s="3">
        <f>C8/B8</f>
        <v/>
      </c>
    </row>
    <row r="9">
      <c r="A9" s="8" t="inlineStr">
        <is>
          <t>Hervey Bay</t>
        </is>
      </c>
      <c r="B9" s="2" t="n">
        <v>199</v>
      </c>
      <c r="C9" s="2" t="n">
        <v>1</v>
      </c>
      <c r="D9" s="3">
        <f>C9/B9</f>
        <v/>
      </c>
    </row>
    <row r="10">
      <c r="A10" s="8" t="inlineStr">
        <is>
          <t>Cairns</t>
        </is>
      </c>
      <c r="B10" s="2" t="n">
        <v>166</v>
      </c>
      <c r="C10" s="2" t="n">
        <v>1</v>
      </c>
      <c r="D10" s="3">
        <f>C10/B10</f>
        <v/>
      </c>
    </row>
    <row r="11">
      <c r="A11" s="8" t="inlineStr">
        <is>
          <t>Nerang</t>
        </is>
      </c>
      <c r="B11" s="2" t="n">
        <v>151</v>
      </c>
      <c r="C11" s="2" t="n">
        <v>1</v>
      </c>
      <c r="D11" s="3">
        <f>C11/B11</f>
        <v/>
      </c>
    </row>
    <row r="12">
      <c r="A12" s="8" t="inlineStr">
        <is>
          <t>Box Hill</t>
        </is>
      </c>
      <c r="B12" s="2" t="n">
        <v>131</v>
      </c>
      <c r="C12" s="2" t="n">
        <v>1</v>
      </c>
      <c r="D12" s="3">
        <f>C12/B12</f>
        <v/>
      </c>
    </row>
    <row r="13">
      <c r="A13" s="8" t="inlineStr">
        <is>
          <t>Hornsby</t>
        </is>
      </c>
      <c r="B13" s="2" t="n">
        <v>94</v>
      </c>
      <c r="C13" s="2" t="n">
        <v>0</v>
      </c>
      <c r="D13" s="3">
        <f>C13/B13</f>
        <v/>
      </c>
    </row>
    <row r="14">
      <c r="A14" s="8" t="inlineStr">
        <is>
          <t>Newcastle</t>
        </is>
      </c>
      <c r="B14" s="2" t="n">
        <v>90</v>
      </c>
      <c r="C14" s="2" t="n">
        <v>0</v>
      </c>
      <c r="D14" s="3">
        <f>C14/B14</f>
        <v/>
      </c>
    </row>
    <row r="15">
      <c r="A15" s="8" t="inlineStr">
        <is>
          <t>Central Coast</t>
        </is>
      </c>
      <c r="B15" s="2" t="n">
        <v>80</v>
      </c>
      <c r="C15" s="2" t="n">
        <v>0</v>
      </c>
      <c r="D15" s="3">
        <f>C15/B15</f>
        <v/>
      </c>
    </row>
    <row r="16">
      <c r="A16" s="8" t="inlineStr">
        <is>
          <t>Craigieburn</t>
        </is>
      </c>
      <c r="B16" s="2" t="n">
        <v>124</v>
      </c>
      <c r="C16" s="2" t="n">
        <v>1</v>
      </c>
      <c r="D16" s="3">
        <f>C16/B16</f>
        <v/>
      </c>
    </row>
    <row r="17">
      <c r="A17" s="8" t="inlineStr">
        <is>
          <t>Townsville</t>
        </is>
      </c>
      <c r="B17" s="2" t="n">
        <v>69</v>
      </c>
      <c r="C17" s="2" t="n">
        <v>0</v>
      </c>
      <c r="D17" s="3">
        <f>C17/B17</f>
        <v/>
      </c>
    </row>
    <row r="18">
      <c r="A18" s="8" t="inlineStr">
        <is>
          <t>Bendigo</t>
        </is>
      </c>
      <c r="B18" s="2" t="n">
        <v>67</v>
      </c>
      <c r="C18" s="2" t="n">
        <v>0</v>
      </c>
      <c r="D18" s="3">
        <f>C18/B18</f>
        <v/>
      </c>
    </row>
    <row r="19">
      <c r="A19" s="8" t="inlineStr">
        <is>
          <t>Cranbourne</t>
        </is>
      </c>
      <c r="B19" s="2" t="n">
        <v>65</v>
      </c>
      <c r="C19" s="2" t="n">
        <v>0</v>
      </c>
      <c r="D19" s="3">
        <f>C19/B19</f>
        <v/>
      </c>
    </row>
    <row r="20">
      <c r="A20" s="8" t="inlineStr">
        <is>
          <t>Mandurah</t>
        </is>
      </c>
      <c r="B20" s="2" t="n">
        <v>54</v>
      </c>
      <c r="C20" s="2" t="n">
        <v>0</v>
      </c>
      <c r="D20" s="3">
        <f>C20/B20</f>
        <v/>
      </c>
    </row>
    <row r="21">
      <c r="A21" s="8" t="inlineStr">
        <is>
          <t>Wollongong</t>
        </is>
      </c>
      <c r="B21" s="2" t="n">
        <v>52</v>
      </c>
      <c r="C21" s="2" t="n">
        <v>0</v>
      </c>
      <c r="D21" s="3">
        <f>C21/B21</f>
        <v/>
      </c>
    </row>
    <row r="22">
      <c r="A22" s="8" t="inlineStr">
        <is>
          <t>Cornubia</t>
        </is>
      </c>
      <c r="B22" s="2" t="n">
        <v>50</v>
      </c>
      <c r="C22" s="2" t="n">
        <v>0</v>
      </c>
      <c r="D22" s="3">
        <f>C22/B22</f>
        <v/>
      </c>
    </row>
    <row r="23">
      <c r="A23" s="8" t="inlineStr">
        <is>
          <t>Hobart</t>
        </is>
      </c>
      <c r="B23" s="2" t="n">
        <v>42</v>
      </c>
      <c r="C23" s="2" t="n">
        <v>0</v>
      </c>
      <c r="D23" s="3">
        <f>C23/B23</f>
        <v/>
      </c>
    </row>
    <row r="24">
      <c r="A24" s="8" t="inlineStr">
        <is>
          <t>Mount Martha</t>
        </is>
      </c>
      <c r="B24" s="2" t="n">
        <v>39</v>
      </c>
      <c r="C24" s="2" t="n">
        <v>0</v>
      </c>
      <c r="D24" s="3">
        <f>C24/B24</f>
        <v/>
      </c>
    </row>
    <row r="25">
      <c r="A25" s="8" t="inlineStr">
        <is>
          <t>Wyndham Vale</t>
        </is>
      </c>
      <c r="B25" s="2" t="n">
        <v>34</v>
      </c>
      <c r="C25" s="2" t="n">
        <v>0</v>
      </c>
      <c r="D25" s="3">
        <f>C25/B25</f>
        <v/>
      </c>
    </row>
    <row r="26">
      <c r="A26" s="8" t="inlineStr">
        <is>
          <t>Lismore</t>
        </is>
      </c>
      <c r="B26" s="2" t="n">
        <v>32</v>
      </c>
      <c r="C26" s="2" t="n">
        <v>0</v>
      </c>
      <c r="D26" s="3">
        <f>C26/B26</f>
        <v/>
      </c>
    </row>
    <row r="27">
      <c r="A27" s="8" t="inlineStr">
        <is>
          <t>Butler</t>
        </is>
      </c>
      <c r="B27" s="2" t="n">
        <v>25</v>
      </c>
      <c r="C27" s="2" t="n">
        <v>0</v>
      </c>
      <c r="D27" s="3">
        <f>C27/B27</f>
        <v/>
      </c>
    </row>
    <row r="28">
      <c r="A28" s="8" t="inlineStr">
        <is>
          <t>Port Macquarie</t>
        </is>
      </c>
      <c r="B28" s="2" t="n">
        <v>23</v>
      </c>
      <c r="C28" s="2" t="n">
        <v>0</v>
      </c>
      <c r="D28" s="3">
        <f>C28/B28</f>
        <v/>
      </c>
    </row>
    <row r="29">
      <c r="A29" s="8" t="inlineStr">
        <is>
          <t>Victoria Point</t>
        </is>
      </c>
      <c r="B29" s="2" t="n">
        <v>22</v>
      </c>
      <c r="C29" s="2" t="n">
        <v>0</v>
      </c>
      <c r="D29" s="3">
        <f>C29/B29</f>
        <v/>
      </c>
    </row>
    <row r="30">
      <c r="A30" s="8" t="inlineStr">
        <is>
          <t>Dubbo</t>
        </is>
      </c>
      <c r="B30" s="2" t="n">
        <v>60</v>
      </c>
      <c r="C30" s="2" t="n">
        <v>0</v>
      </c>
      <c r="D30" s="3">
        <f>C30/B30</f>
        <v/>
      </c>
    </row>
    <row r="31">
      <c r="A31" s="8" t="inlineStr">
        <is>
          <t>Burnie - Somerset</t>
        </is>
      </c>
      <c r="B31" s="2" t="n">
        <v>8</v>
      </c>
      <c r="C31" s="2" t="n">
        <v>0</v>
      </c>
      <c r="D31" s="3">
        <f>C31/B31</f>
        <v/>
      </c>
    </row>
    <row r="32">
      <c r="A32" s="8" t="inlineStr">
        <is>
          <t>Chandler</t>
        </is>
      </c>
      <c r="B32" s="2" t="n">
        <v>36</v>
      </c>
      <c r="C32" s="2" t="n">
        <v>0</v>
      </c>
      <c r="D32" s="3">
        <f>C32/B32</f>
        <v/>
      </c>
    </row>
    <row r="33">
      <c r="A33" s="8" t="inlineStr">
        <is>
          <t>Coffs Harbour</t>
        </is>
      </c>
      <c r="B33" s="2" t="n">
        <v>21</v>
      </c>
      <c r="C33" s="2" t="n">
        <v>0</v>
      </c>
      <c r="D33" s="3">
        <f>C33/B33</f>
        <v/>
      </c>
    </row>
    <row r="34">
      <c r="A34" s="8" t="inlineStr">
        <is>
          <t>Kawana</t>
        </is>
      </c>
      <c r="B34" s="2" t="n">
        <v>20</v>
      </c>
      <c r="C34" s="2" t="n">
        <v>0</v>
      </c>
      <c r="D34" s="3">
        <f>C34/B34</f>
        <v/>
      </c>
    </row>
    <row r="35">
      <c r="A35" s="8" t="inlineStr">
        <is>
          <t>Warrnambool</t>
        </is>
      </c>
      <c r="B35" s="2" t="n">
        <v>19</v>
      </c>
      <c r="C35" s="2" t="n">
        <v>0</v>
      </c>
      <c r="D35" s="3">
        <f>C35/B35</f>
        <v/>
      </c>
    </row>
    <row r="36">
      <c r="A36" s="8" t="inlineStr">
        <is>
          <t>Mernda</t>
        </is>
      </c>
      <c r="B36" s="2" t="n">
        <v>18</v>
      </c>
      <c r="C36" s="2" t="n">
        <v>0</v>
      </c>
      <c r="D36" s="3">
        <f>C36/B36</f>
        <v/>
      </c>
    </row>
    <row r="37">
      <c r="A37" s="8" t="inlineStr">
        <is>
          <t>Orange</t>
        </is>
      </c>
      <c r="B37" s="2" t="n">
        <v>1</v>
      </c>
      <c r="C37" s="2" t="n">
        <v>0</v>
      </c>
      <c r="D37" s="3">
        <f>C37/B37</f>
        <v/>
      </c>
    </row>
    <row r="38">
      <c r="A38" s="8" t="inlineStr">
        <is>
          <t>Colac</t>
        </is>
      </c>
      <c r="B38" s="2" t="n">
        <v>17</v>
      </c>
      <c r="C38" s="2" t="n">
        <v>0</v>
      </c>
      <c r="D38" s="3">
        <f>C38/B38</f>
        <v/>
      </c>
    </row>
    <row r="39">
      <c r="A39" s="8" t="inlineStr">
        <is>
          <t>Young</t>
        </is>
      </c>
      <c r="B39" s="2" t="n">
        <v>4</v>
      </c>
      <c r="C39" s="2" t="n">
        <v>0</v>
      </c>
      <c r="D39" s="3">
        <f>C39/B39</f>
        <v/>
      </c>
    </row>
    <row r="40">
      <c r="A40" s="8" t="inlineStr">
        <is>
          <t>Geelong</t>
        </is>
      </c>
      <c r="B40" s="2" t="n">
        <v>16</v>
      </c>
      <c r="C40" s="2" t="n">
        <v>0</v>
      </c>
      <c r="D40" s="3">
        <f>C40/B40</f>
        <v/>
      </c>
    </row>
    <row r="41">
      <c r="A41" s="8" t="inlineStr">
        <is>
          <t>Gladstone</t>
        </is>
      </c>
      <c r="B41" s="2" t="n">
        <v>57</v>
      </c>
      <c r="C41" s="2" t="n">
        <v>0</v>
      </c>
      <c r="D41" s="3">
        <f>C41/B41</f>
        <v/>
      </c>
    </row>
    <row r="42">
      <c r="A42" s="8" t="inlineStr">
        <is>
          <t>Athelstone</t>
        </is>
      </c>
      <c r="B42" s="2" t="n">
        <v>75</v>
      </c>
      <c r="C42" s="2" t="n">
        <v>0</v>
      </c>
      <c r="D42" s="3">
        <f>C42/B42</f>
        <v/>
      </c>
    </row>
    <row r="43">
      <c r="A43" s="8" t="inlineStr">
        <is>
          <t>Toowoomba</t>
        </is>
      </c>
      <c r="B43" s="2" t="n">
        <v>15</v>
      </c>
      <c r="C43" s="2" t="n">
        <v>0</v>
      </c>
      <c r="D43" s="3">
        <f>C43/B43</f>
        <v/>
      </c>
    </row>
    <row r="44">
      <c r="A44" s="8" t="inlineStr">
        <is>
          <t>Rockhampton</t>
        </is>
      </c>
      <c r="B44" s="2" t="n">
        <v>38</v>
      </c>
      <c r="C44" s="2" t="n">
        <v>0</v>
      </c>
      <c r="D44" s="3">
        <f>C44/B44</f>
        <v/>
      </c>
    </row>
    <row r="45">
      <c r="A45" s="8" t="inlineStr">
        <is>
          <t>Bowen</t>
        </is>
      </c>
      <c r="B45" s="2" t="n">
        <v>29</v>
      </c>
      <c r="C45" s="2" t="n">
        <v>0</v>
      </c>
      <c r="D45" s="3">
        <f>C45/B45</f>
        <v/>
      </c>
    </row>
    <row r="46">
      <c r="A46" s="8" t="inlineStr">
        <is>
          <t>Bathurst</t>
        </is>
      </c>
      <c r="B46" s="2" t="n">
        <v>14</v>
      </c>
      <c r="C46" s="2" t="n">
        <v>0</v>
      </c>
      <c r="D46" s="3">
        <f>C46/B46</f>
        <v/>
      </c>
    </row>
    <row r="47">
      <c r="A47" s="8" t="inlineStr">
        <is>
          <t>Dural</t>
        </is>
      </c>
      <c r="B47" s="2" t="n">
        <v>61</v>
      </c>
      <c r="C47" s="2" t="n">
        <v>0</v>
      </c>
      <c r="D47" s="3">
        <f>C47/B47</f>
        <v/>
      </c>
    </row>
    <row r="48">
      <c r="A48" s="8" t="inlineStr">
        <is>
          <t>Stanthorpe</t>
        </is>
      </c>
      <c r="B48" s="2" t="n">
        <v>66</v>
      </c>
      <c r="C48" s="2" t="n">
        <v>0</v>
      </c>
      <c r="D48" s="3">
        <f>C48/B48</f>
        <v/>
      </c>
    </row>
    <row r="49">
      <c r="A49" s="8" t="inlineStr">
        <is>
          <t>Berwick</t>
        </is>
      </c>
      <c r="B49" s="2" t="n">
        <v>13</v>
      </c>
      <c r="C49" s="2" t="n">
        <v>0</v>
      </c>
      <c r="D49" s="3">
        <f>C49/B49</f>
        <v/>
      </c>
    </row>
    <row r="50">
      <c r="A50" s="8" t="inlineStr">
        <is>
          <t>Kingston</t>
        </is>
      </c>
      <c r="B50" s="2" t="n">
        <v>56</v>
      </c>
      <c r="C50" s="2" t="n">
        <v>0</v>
      </c>
      <c r="D50" s="3">
        <f>C50/B50</f>
        <v/>
      </c>
    </row>
    <row r="51">
      <c r="A51" s="8" t="inlineStr">
        <is>
          <t>Kwinana Town Centre</t>
        </is>
      </c>
      <c r="B51" s="2" t="n">
        <v>9</v>
      </c>
      <c r="C51" s="2" t="n">
        <v>0</v>
      </c>
      <c r="D51" s="3">
        <f>C51/B51</f>
        <v/>
      </c>
    </row>
    <row r="52">
      <c r="A52" s="8" t="inlineStr">
        <is>
          <t>Leppington</t>
        </is>
      </c>
      <c r="B52" s="2" t="n">
        <v>31</v>
      </c>
      <c r="C52" s="2" t="n">
        <v>0</v>
      </c>
      <c r="D52" s="3">
        <f>C52/B52</f>
        <v/>
      </c>
    </row>
    <row r="53">
      <c r="A53" s="8" t="inlineStr">
        <is>
          <t>Moruya</t>
        </is>
      </c>
      <c r="B53" s="2" t="n">
        <v>44</v>
      </c>
      <c r="C53" s="2" t="n">
        <v>0</v>
      </c>
      <c r="D53" s="3">
        <f>C53/B53</f>
        <v/>
      </c>
    </row>
    <row r="54">
      <c r="A54" s="8" t="inlineStr">
        <is>
          <t>Sunshine Coast</t>
        </is>
      </c>
      <c r="B54" s="2" t="n">
        <v>12</v>
      </c>
      <c r="C54" s="2" t="n">
        <v>0</v>
      </c>
      <c r="D54" s="3">
        <f>C54/B54</f>
        <v/>
      </c>
    </row>
    <row r="55">
      <c r="A55" s="8" t="inlineStr">
        <is>
          <t>Bargara</t>
        </is>
      </c>
      <c r="B55" s="2" t="n">
        <v>72</v>
      </c>
      <c r="C55" s="2" t="n">
        <v>0</v>
      </c>
      <c r="D55" s="3">
        <f>C55/B55</f>
        <v/>
      </c>
    </row>
    <row r="56">
      <c r="A56" s="8" t="inlineStr">
        <is>
          <t>Nowra</t>
        </is>
      </c>
      <c r="B56" s="2" t="n">
        <v>70</v>
      </c>
      <c r="C56" s="2" t="n">
        <v>0</v>
      </c>
      <c r="D56" s="3">
        <f>C56/B56</f>
        <v/>
      </c>
    </row>
    <row r="57">
      <c r="A57" s="8" t="inlineStr">
        <is>
          <t>Parkes</t>
        </is>
      </c>
      <c r="B57" s="2" t="n">
        <v>48</v>
      </c>
      <c r="C57" s="2" t="n">
        <v>0</v>
      </c>
      <c r="D57" s="3">
        <f>C57/B57</f>
        <v/>
      </c>
    </row>
    <row r="58">
      <c r="A58" s="8" t="inlineStr">
        <is>
          <t>Marulan</t>
        </is>
      </c>
      <c r="B58" s="2" t="n">
        <v>6</v>
      </c>
      <c r="C58" s="2" t="n">
        <v>0</v>
      </c>
      <c r="D58" s="3">
        <f>C58/B58</f>
        <v/>
      </c>
    </row>
    <row r="59">
      <c r="A59" s="8" t="inlineStr">
        <is>
          <t>Mildura</t>
        </is>
      </c>
      <c r="B59" s="2" t="n">
        <v>11</v>
      </c>
      <c r="C59" s="2" t="n">
        <v>0</v>
      </c>
      <c r="D59" s="3">
        <f>C59/B59</f>
        <v/>
      </c>
    </row>
    <row r="60">
      <c r="A60" s="8" t="inlineStr">
        <is>
          <t>Bungendore</t>
        </is>
      </c>
      <c r="B60" s="2" t="n">
        <v>59</v>
      </c>
      <c r="C60" s="2" t="n">
        <v>0</v>
      </c>
      <c r="D60" s="3">
        <f>C60/B60</f>
        <v/>
      </c>
    </row>
    <row r="61">
      <c r="A61" s="8" t="inlineStr">
        <is>
          <t>Armidale</t>
        </is>
      </c>
      <c r="B61" s="2" t="n">
        <v>63</v>
      </c>
      <c r="C61" s="2" t="n">
        <v>0</v>
      </c>
      <c r="D61" s="3">
        <f>C61/B61</f>
        <v/>
      </c>
    </row>
    <row r="62">
      <c r="A62" s="4" t="inlineStr">
        <is>
          <t>Grand Total</t>
        </is>
      </c>
      <c r="B62" s="5">
        <f>SUM(B2:B61)</f>
        <v/>
      </c>
      <c r="C62" s="5">
        <f>SUM(C2:C61)</f>
        <v/>
      </c>
      <c r="D62" s="6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4962</v>
      </c>
      <c r="C2" s="2" t="n">
        <v>22</v>
      </c>
      <c r="D2" s="3">
        <f>C2/B2</f>
        <v/>
      </c>
    </row>
    <row r="3">
      <c r="A3" s="8" t="inlineStr">
        <is>
          <t>25-34</t>
        </is>
      </c>
      <c r="B3" s="2" t="n">
        <v>6681</v>
      </c>
      <c r="C3" s="2" t="n">
        <v>36</v>
      </c>
      <c r="D3" s="3">
        <f>C3/B3</f>
        <v/>
      </c>
    </row>
    <row r="4">
      <c r="A4" s="8" t="inlineStr">
        <is>
          <t>35-44</t>
        </is>
      </c>
      <c r="B4" s="2" t="n">
        <v>7528</v>
      </c>
      <c r="C4" s="2" t="n">
        <v>38</v>
      </c>
      <c r="D4" s="3">
        <f>C4/B4</f>
        <v/>
      </c>
    </row>
    <row r="5">
      <c r="A5" s="8" t="inlineStr">
        <is>
          <t>45-54</t>
        </is>
      </c>
      <c r="B5" s="2" t="n">
        <v>2053</v>
      </c>
      <c r="C5" s="2" t="n">
        <v>10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13259</v>
      </c>
      <c r="C2" s="2" t="n">
        <v>68</v>
      </c>
      <c r="D2" s="3">
        <f>C2/B2</f>
        <v/>
      </c>
    </row>
    <row r="3">
      <c r="A3" s="8" t="inlineStr">
        <is>
          <t>Female</t>
        </is>
      </c>
      <c r="B3" s="2" t="n">
        <v>7965</v>
      </c>
      <c r="C3" s="2" t="n">
        <v>38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2026-05-25T07:36:50Z</dcterms:created>
  <dcterms:modified xsi:type="dcterms:W3CDTF">2026-05-25T07:36:56Z</dcterms:modified>
</cp:coreProperties>
</file>