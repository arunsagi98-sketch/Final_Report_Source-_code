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3" t="n">
        <v>928</v>
      </c>
      <c r="C2" s="4">
        <f>B2/A2</f>
        <v/>
      </c>
      <c r="D2" s="3" t="n">
        <v>67087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2" t="inlineStr">
        <is>
          <t>05 April, 2026</t>
        </is>
      </c>
      <c r="B2" s="3" t="n">
        <v>3571</v>
      </c>
      <c r="C2" s="3" t="n">
        <v>18</v>
      </c>
      <c r="D2" s="4">
        <f>C2/B2</f>
        <v/>
      </c>
      <c r="E2" s="3" t="n">
        <v>1966</v>
      </c>
      <c r="F2" s="3" t="n">
        <v>3332</v>
      </c>
      <c r="G2" s="4">
        <f>E2/F2</f>
        <v/>
      </c>
    </row>
    <row r="3">
      <c r="A3" s="2" t="inlineStr">
        <is>
          <t>06 April, 2026</t>
        </is>
      </c>
      <c r="B3" s="3" t="n">
        <v>8476</v>
      </c>
      <c r="C3" s="3" t="n">
        <v>40</v>
      </c>
      <c r="D3" s="4">
        <f>C3/B3</f>
        <v/>
      </c>
      <c r="E3" s="3" t="n">
        <v>5393</v>
      </c>
      <c r="F3" s="3" t="n">
        <v>7702</v>
      </c>
      <c r="G3" s="4">
        <f>E3/F3</f>
        <v/>
      </c>
    </row>
    <row r="4">
      <c r="A4" s="2" t="inlineStr">
        <is>
          <t>07 April, 2026</t>
        </is>
      </c>
      <c r="B4" s="3" t="n">
        <v>8571</v>
      </c>
      <c r="C4" s="3" t="n">
        <v>45</v>
      </c>
      <c r="D4" s="4">
        <f>C4/B4</f>
        <v/>
      </c>
      <c r="E4" s="3" t="n">
        <v>5603</v>
      </c>
      <c r="F4" s="3" t="n">
        <v>7783</v>
      </c>
      <c r="G4" s="4">
        <f>E4/F4</f>
        <v/>
      </c>
    </row>
    <row r="5">
      <c r="A5" s="2" t="inlineStr">
        <is>
          <t>08 April, 2026</t>
        </is>
      </c>
      <c r="B5" s="3" t="n">
        <v>8195</v>
      </c>
      <c r="C5" s="3" t="n">
        <v>32</v>
      </c>
      <c r="D5" s="4">
        <f>C5/B5</f>
        <v/>
      </c>
      <c r="E5" s="3" t="n">
        <v>4771</v>
      </c>
      <c r="F5" s="3" t="n">
        <v>7596</v>
      </c>
      <c r="G5" s="4">
        <f>E5/F5</f>
        <v/>
      </c>
    </row>
    <row r="6">
      <c r="A6" s="2" t="inlineStr">
        <is>
          <t>09 April, 2026</t>
        </is>
      </c>
      <c r="B6" s="3" t="n">
        <v>8114</v>
      </c>
      <c r="C6" s="3" t="n">
        <v>42</v>
      </c>
      <c r="D6" s="4">
        <f>C6/B6</f>
        <v/>
      </c>
      <c r="E6" s="3" t="n">
        <v>5037</v>
      </c>
      <c r="F6" s="3" t="n">
        <v>7390</v>
      </c>
      <c r="G6" s="4">
        <f>E6/F6</f>
        <v/>
      </c>
    </row>
    <row r="7">
      <c r="A7" s="2" t="inlineStr">
        <is>
          <t>10 April, 2026</t>
        </is>
      </c>
      <c r="B7" s="3" t="n">
        <v>7483</v>
      </c>
      <c r="C7" s="3" t="n">
        <v>31</v>
      </c>
      <c r="D7" s="4">
        <f>C7/B7</f>
        <v/>
      </c>
      <c r="E7" s="3" t="n">
        <v>5125</v>
      </c>
      <c r="F7" s="3" t="n">
        <v>7083</v>
      </c>
      <c r="G7" s="4">
        <f>E7/F7</f>
        <v/>
      </c>
    </row>
    <row r="8">
      <c r="A8" s="2" t="inlineStr">
        <is>
          <t>11 April, 2026</t>
        </is>
      </c>
      <c r="B8" s="3" t="n">
        <v>7625</v>
      </c>
      <c r="C8" s="3" t="n">
        <v>33</v>
      </c>
      <c r="D8" s="4">
        <f>C8/B8</f>
        <v/>
      </c>
      <c r="E8" s="3" t="n">
        <v>4948</v>
      </c>
      <c r="F8" s="3" t="n">
        <v>6960</v>
      </c>
      <c r="G8" s="4">
        <f>E8/F8</f>
        <v/>
      </c>
    </row>
    <row r="9">
      <c r="A9" s="2" t="inlineStr">
        <is>
          <t>12 April, 2026</t>
        </is>
      </c>
      <c r="B9" s="3" t="n">
        <v>7778</v>
      </c>
      <c r="C9" s="3" t="n">
        <v>31</v>
      </c>
      <c r="D9" s="4">
        <f>C9/B9</f>
        <v/>
      </c>
      <c r="E9" s="3" t="n">
        <v>4837</v>
      </c>
      <c r="F9" s="3" t="n">
        <v>7115</v>
      </c>
      <c r="G9" s="4">
        <f>E9/F9</f>
        <v/>
      </c>
    </row>
    <row r="10">
      <c r="A10" s="2" t="inlineStr">
        <is>
          <t>13 April, 2026</t>
        </is>
      </c>
      <c r="B10" s="3" t="n">
        <v>8041</v>
      </c>
      <c r="C10" s="3" t="n">
        <v>34</v>
      </c>
      <c r="D10" s="4">
        <f>C10/B10</f>
        <v/>
      </c>
      <c r="E10" s="3" t="n">
        <v>5017</v>
      </c>
      <c r="F10" s="3" t="n">
        <v>7439</v>
      </c>
      <c r="G10" s="4">
        <f>E10/F10</f>
        <v/>
      </c>
    </row>
    <row r="11">
      <c r="A11" s="2" t="inlineStr">
        <is>
          <t>14 April, 2026</t>
        </is>
      </c>
      <c r="B11" s="3" t="n">
        <v>8180</v>
      </c>
      <c r="C11" s="3" t="n">
        <v>32</v>
      </c>
      <c r="D11" s="4">
        <f>C11/B11</f>
        <v/>
      </c>
      <c r="E11" s="3" t="n">
        <v>5311</v>
      </c>
      <c r="F11" s="3" t="n">
        <v>7735</v>
      </c>
      <c r="G11" s="4">
        <f>E11/F11</f>
        <v/>
      </c>
    </row>
    <row r="12">
      <c r="A12" s="2" t="inlineStr">
        <is>
          <t>15 April, 2026</t>
        </is>
      </c>
      <c r="B12" s="3" t="n">
        <v>7727</v>
      </c>
      <c r="C12" s="3" t="n">
        <v>41</v>
      </c>
      <c r="D12" s="4">
        <f>C12/B12</f>
        <v/>
      </c>
      <c r="E12" s="3" t="n">
        <v>5215</v>
      </c>
      <c r="F12" s="3" t="n">
        <v>7012</v>
      </c>
      <c r="G12" s="4">
        <f>E12/F12</f>
        <v/>
      </c>
    </row>
    <row r="13">
      <c r="A13" s="2" t="inlineStr">
        <is>
          <t>16 April, 2026</t>
        </is>
      </c>
      <c r="B13" s="3" t="n">
        <v>7779</v>
      </c>
      <c r="C13" s="3" t="n">
        <v>37</v>
      </c>
      <c r="D13" s="4">
        <f>C13/B13</f>
        <v/>
      </c>
      <c r="E13" s="3" t="n">
        <v>4674</v>
      </c>
      <c r="F13" s="3" t="n">
        <v>7142</v>
      </c>
      <c r="G13" s="4">
        <f>E13/F13</f>
        <v/>
      </c>
    </row>
    <row r="14">
      <c r="A14" s="2" t="inlineStr">
        <is>
          <t>17 April, 2026</t>
        </is>
      </c>
      <c r="B14" s="3" t="n">
        <v>7312</v>
      </c>
      <c r="C14" s="3" t="n">
        <v>32</v>
      </c>
      <c r="D14" s="4">
        <f>C14/B14</f>
        <v/>
      </c>
      <c r="E14" s="3" t="n">
        <v>4324</v>
      </c>
      <c r="F14" s="3" t="n">
        <v>6910</v>
      </c>
      <c r="G14" s="4">
        <f>E14/F14</f>
        <v/>
      </c>
    </row>
    <row r="15">
      <c r="A15" s="2" t="inlineStr">
        <is>
          <t>18 April, 2026</t>
        </is>
      </c>
      <c r="B15" s="3" t="n">
        <v>7141</v>
      </c>
      <c r="C15" s="3" t="n">
        <v>34</v>
      </c>
      <c r="D15" s="4">
        <f>C15/B15</f>
        <v/>
      </c>
      <c r="E15" s="3" t="n">
        <v>4226</v>
      </c>
      <c r="F15" s="3" t="n">
        <v>6469</v>
      </c>
      <c r="G15" s="4">
        <f>E15/F15</f>
        <v/>
      </c>
    </row>
    <row r="16">
      <c r="A16" s="2" t="inlineStr">
        <is>
          <t>19 April, 2026</t>
        </is>
      </c>
      <c r="B16" s="3" t="n">
        <v>6806</v>
      </c>
      <c r="C16" s="3" t="n">
        <v>33</v>
      </c>
      <c r="D16" s="4">
        <f>C16/B16</f>
        <v/>
      </c>
      <c r="E16" s="3" t="n">
        <v>4317</v>
      </c>
      <c r="F16" s="3" t="n">
        <v>6286</v>
      </c>
      <c r="G16" s="4">
        <f>E16/F16</f>
        <v/>
      </c>
    </row>
    <row r="17">
      <c r="A17" s="2" t="inlineStr">
        <is>
          <t>20 April, 2026</t>
        </is>
      </c>
      <c r="B17" s="3" t="n">
        <v>7911</v>
      </c>
      <c r="C17" s="3" t="n">
        <v>32</v>
      </c>
      <c r="D17" s="4">
        <f>C17/B17</f>
        <v/>
      </c>
      <c r="E17" s="3" t="n">
        <v>4990</v>
      </c>
      <c r="F17" s="3" t="n">
        <v>7203</v>
      </c>
      <c r="G17" s="4">
        <f>E17/F17</f>
        <v/>
      </c>
    </row>
    <row r="18">
      <c r="A18" s="2" t="inlineStr">
        <is>
          <t>21 April, 2026</t>
        </is>
      </c>
      <c r="B18" s="3" t="n">
        <v>7716</v>
      </c>
      <c r="C18" s="3" t="n">
        <v>40</v>
      </c>
      <c r="D18" s="4">
        <f>C18/B18</f>
        <v/>
      </c>
      <c r="E18" s="3" t="n">
        <v>4387</v>
      </c>
      <c r="F18" s="3" t="n">
        <v>7306</v>
      </c>
      <c r="G18" s="4">
        <f>E18/F18</f>
        <v/>
      </c>
    </row>
    <row r="19">
      <c r="A19" s="2" t="inlineStr">
        <is>
          <t>22 April, 2026</t>
        </is>
      </c>
      <c r="B19" s="3" t="n">
        <v>7607</v>
      </c>
      <c r="C19" s="3" t="n">
        <v>34</v>
      </c>
      <c r="D19" s="4">
        <f>C19/B19</f>
        <v/>
      </c>
      <c r="E19" s="3" t="n">
        <v>5311</v>
      </c>
      <c r="F19" s="3" t="n">
        <v>6933</v>
      </c>
      <c r="G19" s="4">
        <f>E19/F19</f>
        <v/>
      </c>
    </row>
    <row r="20">
      <c r="A20" s="2" t="inlineStr">
        <is>
          <t>23 April, 2026</t>
        </is>
      </c>
      <c r="B20" s="3" t="n">
        <v>6769</v>
      </c>
      <c r="C20" s="3" t="n">
        <v>37</v>
      </c>
      <c r="D20" s="4">
        <f>C20/B20</f>
        <v/>
      </c>
      <c r="E20" s="3" t="n">
        <v>4183</v>
      </c>
      <c r="F20" s="3" t="n">
        <v>6097</v>
      </c>
      <c r="G20" s="4">
        <f>E20/F20</f>
        <v/>
      </c>
    </row>
    <row r="21">
      <c r="A21" s="2" t="inlineStr">
        <is>
          <t>24 April, 2026</t>
        </is>
      </c>
      <c r="B21" s="3" t="n">
        <v>6207</v>
      </c>
      <c r="C21" s="3" t="n">
        <v>26</v>
      </c>
      <c r="D21" s="4">
        <f>C21/B21</f>
        <v/>
      </c>
      <c r="E21" s="3" t="n">
        <v>4143</v>
      </c>
      <c r="F21" s="3" t="n">
        <v>5774</v>
      </c>
      <c r="G21" s="4">
        <f>E21/F21</f>
        <v/>
      </c>
    </row>
    <row r="22">
      <c r="A22" s="2" t="inlineStr">
        <is>
          <t>25 April, 2026</t>
        </is>
      </c>
      <c r="B22" s="3" t="n">
        <v>6683</v>
      </c>
      <c r="C22" s="3" t="n">
        <v>34</v>
      </c>
      <c r="D22" s="4">
        <f>C22/B22</f>
        <v/>
      </c>
      <c r="E22" s="3" t="n">
        <v>4403</v>
      </c>
      <c r="F22" s="3" t="n">
        <v>6306</v>
      </c>
      <c r="G22" s="4">
        <f>E22/F22</f>
        <v/>
      </c>
    </row>
    <row r="23">
      <c r="A23" s="2" t="inlineStr">
        <is>
          <t>26 April, 2026</t>
        </is>
      </c>
      <c r="B23" s="3" t="n">
        <v>6739</v>
      </c>
      <c r="C23" s="3" t="n">
        <v>35</v>
      </c>
      <c r="D23" s="4">
        <f>C23/B23</f>
        <v/>
      </c>
      <c r="E23" s="3" t="n">
        <v>4652</v>
      </c>
      <c r="F23" s="3" t="n">
        <v>6272</v>
      </c>
      <c r="G23" s="4">
        <f>E23/F23</f>
        <v/>
      </c>
    </row>
    <row r="24">
      <c r="A24" s="2" t="inlineStr">
        <is>
          <t>27 April, 2026</t>
        </is>
      </c>
      <c r="B24" s="3" t="n">
        <v>6286</v>
      </c>
      <c r="C24" s="3" t="n">
        <v>28</v>
      </c>
      <c r="D24" s="4">
        <f>C24/B24</f>
        <v/>
      </c>
      <c r="E24" s="3" t="n">
        <v>4354</v>
      </c>
      <c r="F24" s="3" t="n">
        <v>5962</v>
      </c>
      <c r="G24" s="4">
        <f>E24/F24</f>
        <v/>
      </c>
    </row>
    <row r="25">
      <c r="A25" s="2" t="inlineStr">
        <is>
          <t>28 April, 2026</t>
        </is>
      </c>
      <c r="B25" s="3" t="n">
        <v>6060</v>
      </c>
      <c r="C25" s="3" t="n">
        <v>27</v>
      </c>
      <c r="D25" s="4">
        <f>C25/B25</f>
        <v/>
      </c>
      <c r="E25" s="3" t="n">
        <v>3460</v>
      </c>
      <c r="F25" s="3" t="n">
        <v>5663</v>
      </c>
      <c r="G25" s="4">
        <f>E25/F25</f>
        <v/>
      </c>
    </row>
    <row r="26">
      <c r="A26" s="2" t="inlineStr">
        <is>
          <t>29 April, 2026</t>
        </is>
      </c>
      <c r="B26" s="3" t="n">
        <v>4669</v>
      </c>
      <c r="C26" s="3" t="n">
        <v>22</v>
      </c>
      <c r="D26" s="4">
        <f>C26/B26</f>
        <v/>
      </c>
      <c r="E26" s="3" t="n">
        <v>2714</v>
      </c>
      <c r="F26" s="3" t="n">
        <v>4310</v>
      </c>
      <c r="G26" s="4">
        <f>E26/F26</f>
        <v/>
      </c>
    </row>
    <row r="27">
      <c r="A27" s="2" t="inlineStr">
        <is>
          <t>30 April, 2026</t>
        </is>
      </c>
      <c r="B27" s="3" t="n">
        <v>4706</v>
      </c>
      <c r="C27" s="3" t="n">
        <v>24</v>
      </c>
      <c r="D27" s="4">
        <f>C27/B27</f>
        <v/>
      </c>
      <c r="E27" s="3" t="n">
        <v>3070</v>
      </c>
      <c r="F27" s="3" t="n">
        <v>4256</v>
      </c>
      <c r="G27" s="4">
        <f>E27/F27</f>
        <v/>
      </c>
    </row>
    <row r="28">
      <c r="A28" s="2" t="inlineStr">
        <is>
          <t>01 May, 2026</t>
        </is>
      </c>
      <c r="B28" s="3" t="n">
        <v>7423</v>
      </c>
      <c r="C28" s="3" t="n">
        <v>38</v>
      </c>
      <c r="D28" s="4">
        <f>C28/B28</f>
        <v/>
      </c>
      <c r="E28" s="3" t="n">
        <v>4378</v>
      </c>
      <c r="F28" s="3" t="n">
        <v>6792</v>
      </c>
      <c r="G28" s="4">
        <f>E28/F28</f>
        <v/>
      </c>
    </row>
    <row r="29">
      <c r="A29" s="2" t="inlineStr">
        <is>
          <t>02 May, 2026</t>
        </is>
      </c>
      <c r="B29" s="3" t="n">
        <v>8936</v>
      </c>
      <c r="C29" s="3" t="n">
        <v>36</v>
      </c>
      <c r="D29" s="4">
        <f>C29/B29</f>
        <v/>
      </c>
      <c r="E29" s="3" t="n">
        <v>5504</v>
      </c>
      <c r="F29" s="3" t="n">
        <v>8150</v>
      </c>
      <c r="G29" s="4">
        <f>E29/F29</f>
        <v/>
      </c>
    </row>
    <row r="30">
      <c r="A30" s="5" t="inlineStr">
        <is>
          <t>Grand Total</t>
        </is>
      </c>
      <c r="B30" s="6">
        <f>SUM(B2:B29)</f>
        <v/>
      </c>
      <c r="C30" s="6">
        <f>SUM(C2:C29)</f>
        <v/>
      </c>
      <c r="D30" s="7">
        <f>C30/B30</f>
        <v/>
      </c>
      <c r="E30" s="6">
        <f>SUM(E2:E29)</f>
        <v/>
      </c>
      <c r="F30" s="6">
        <f>SUM(F2:F29)</f>
        <v/>
      </c>
      <c r="G30" s="7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zaobao.com.sg</t>
        </is>
      </c>
      <c r="B2" s="3" t="n">
        <v>200511</v>
      </c>
      <c r="C2" s="3" t="n">
        <v>928</v>
      </c>
      <c r="D2" s="4">
        <f>C2/B2</f>
        <v/>
      </c>
    </row>
    <row r="3">
      <c r="A3" s="5" t="inlineStr">
        <is>
          <t>Grand Total</t>
        </is>
      </c>
      <c r="B3" s="6">
        <f>SUM(B2:B2)</f>
        <v/>
      </c>
      <c r="C3" s="6">
        <f>SUM(C2:C2)</f>
        <v/>
      </c>
      <c r="D3" s="7">
        <f>C3/B3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n">
        <v>0</v>
      </c>
      <c r="B2" s="3" t="n">
        <v>2449</v>
      </c>
      <c r="C2" s="3" t="n">
        <v>9</v>
      </c>
      <c r="D2" s="4">
        <f>C2/B2</f>
        <v/>
      </c>
    </row>
    <row r="3">
      <c r="A3" s="2" t="n">
        <v>1</v>
      </c>
      <c r="B3" s="3" t="n">
        <v>2245</v>
      </c>
      <c r="C3" s="3" t="n">
        <v>11</v>
      </c>
      <c r="D3" s="4">
        <f>C3/B3</f>
        <v/>
      </c>
    </row>
    <row r="4">
      <c r="A4" s="2" t="n">
        <v>2</v>
      </c>
      <c r="B4" s="3" t="n">
        <v>1501</v>
      </c>
      <c r="C4" s="3" t="n">
        <v>7</v>
      </c>
      <c r="D4" s="4">
        <f>C4/B4</f>
        <v/>
      </c>
    </row>
    <row r="5">
      <c r="A5" s="2" t="n">
        <v>3</v>
      </c>
      <c r="B5" s="3" t="n">
        <v>1792</v>
      </c>
      <c r="C5" s="3" t="n">
        <v>7</v>
      </c>
      <c r="D5" s="4">
        <f>C5/B5</f>
        <v/>
      </c>
    </row>
    <row r="6">
      <c r="A6" s="2" t="n">
        <v>4</v>
      </c>
      <c r="B6" s="3" t="n">
        <v>2431</v>
      </c>
      <c r="C6" s="3" t="n">
        <v>11</v>
      </c>
      <c r="D6" s="4">
        <f>C6/B6</f>
        <v/>
      </c>
    </row>
    <row r="7">
      <c r="A7" s="2" t="n">
        <v>5</v>
      </c>
      <c r="B7" s="3" t="n">
        <v>3641</v>
      </c>
      <c r="C7" s="3" t="n">
        <v>17</v>
      </c>
      <c r="D7" s="4">
        <f>C7/B7</f>
        <v/>
      </c>
    </row>
    <row r="8">
      <c r="A8" s="2" t="n">
        <v>6</v>
      </c>
      <c r="B8" s="3" t="n">
        <v>5728</v>
      </c>
      <c r="C8" s="3" t="n">
        <v>26</v>
      </c>
      <c r="D8" s="4">
        <f>C8/B8</f>
        <v/>
      </c>
    </row>
    <row r="9">
      <c r="A9" s="2" t="n">
        <v>7</v>
      </c>
      <c r="B9" s="3" t="n">
        <v>8951</v>
      </c>
      <c r="C9" s="3" t="n">
        <v>47</v>
      </c>
      <c r="D9" s="4">
        <f>C9/B9</f>
        <v/>
      </c>
    </row>
    <row r="10">
      <c r="A10" s="2" t="n">
        <v>8</v>
      </c>
      <c r="B10" s="3" t="n">
        <v>9217</v>
      </c>
      <c r="C10" s="3" t="n">
        <v>46</v>
      </c>
      <c r="D10" s="4">
        <f>C10/B10</f>
        <v/>
      </c>
    </row>
    <row r="11">
      <c r="A11" s="2" t="n">
        <v>9</v>
      </c>
      <c r="B11" s="3" t="n">
        <v>13672</v>
      </c>
      <c r="C11" s="3" t="n">
        <v>55</v>
      </c>
      <c r="D11" s="4">
        <f>C11/B11</f>
        <v/>
      </c>
    </row>
    <row r="12">
      <c r="A12" s="2" t="n">
        <v>10</v>
      </c>
      <c r="B12" s="3" t="n">
        <v>13256</v>
      </c>
      <c r="C12" s="3" t="n">
        <v>70</v>
      </c>
      <c r="D12" s="4">
        <f>C12/B12</f>
        <v/>
      </c>
    </row>
    <row r="13">
      <c r="A13" s="2" t="n">
        <v>11</v>
      </c>
      <c r="B13" s="3" t="n">
        <v>14338</v>
      </c>
      <c r="C13" s="3" t="n">
        <v>77</v>
      </c>
      <c r="D13" s="4">
        <f>C13/B13</f>
        <v/>
      </c>
    </row>
    <row r="14">
      <c r="A14" s="2" t="n">
        <v>12</v>
      </c>
      <c r="B14" s="3" t="n">
        <v>11475</v>
      </c>
      <c r="C14" s="3" t="n">
        <v>52</v>
      </c>
      <c r="D14" s="4">
        <f>C14/B14</f>
        <v/>
      </c>
    </row>
    <row r="15">
      <c r="A15" s="2" t="n">
        <v>13</v>
      </c>
      <c r="B15" s="3" t="n">
        <v>9982</v>
      </c>
      <c r="C15" s="3" t="n">
        <v>50</v>
      </c>
      <c r="D15" s="4">
        <f>C15/B15</f>
        <v/>
      </c>
    </row>
    <row r="16">
      <c r="A16" s="2" t="n">
        <v>14</v>
      </c>
      <c r="B16" s="3" t="n">
        <v>9067</v>
      </c>
      <c r="C16" s="3" t="n">
        <v>34</v>
      </c>
      <c r="D16" s="4">
        <f>C16/B16</f>
        <v/>
      </c>
    </row>
    <row r="17">
      <c r="A17" s="2" t="n">
        <v>15</v>
      </c>
      <c r="B17" s="3" t="n">
        <v>7949</v>
      </c>
      <c r="C17" s="3" t="n">
        <v>41</v>
      </c>
      <c r="D17" s="4">
        <f>C17/B17</f>
        <v/>
      </c>
    </row>
    <row r="18">
      <c r="A18" s="2" t="n">
        <v>16</v>
      </c>
      <c r="B18" s="3" t="n">
        <v>10751</v>
      </c>
      <c r="C18" s="3" t="n">
        <v>55</v>
      </c>
      <c r="D18" s="4">
        <f>C18/B18</f>
        <v/>
      </c>
    </row>
    <row r="19">
      <c r="A19" s="2" t="n">
        <v>17</v>
      </c>
      <c r="B19" s="3" t="n">
        <v>15649</v>
      </c>
      <c r="C19" s="3" t="n">
        <v>81</v>
      </c>
      <c r="D19" s="4">
        <f>C19/B19</f>
        <v/>
      </c>
    </row>
    <row r="20">
      <c r="A20" s="2" t="n">
        <v>18</v>
      </c>
      <c r="B20" s="3" t="n">
        <v>13788</v>
      </c>
      <c r="C20" s="3" t="n">
        <v>63</v>
      </c>
      <c r="D20" s="4">
        <f>C20/B20</f>
        <v/>
      </c>
    </row>
    <row r="21">
      <c r="A21" s="2" t="n">
        <v>19</v>
      </c>
      <c r="B21" s="3" t="n">
        <v>11709</v>
      </c>
      <c r="C21" s="3" t="n">
        <v>42</v>
      </c>
      <c r="D21" s="4">
        <f>C21/B21</f>
        <v/>
      </c>
    </row>
    <row r="22">
      <c r="A22" s="2" t="n">
        <v>20</v>
      </c>
      <c r="B22" s="3" t="n">
        <v>10792</v>
      </c>
      <c r="C22" s="3" t="n">
        <v>42</v>
      </c>
      <c r="D22" s="4">
        <f>C22/B22</f>
        <v/>
      </c>
    </row>
    <row r="23">
      <c r="A23" s="2" t="n">
        <v>21</v>
      </c>
      <c r="B23" s="3" t="n">
        <v>9672</v>
      </c>
      <c r="C23" s="3" t="n">
        <v>36</v>
      </c>
      <c r="D23" s="4">
        <f>C23/B23</f>
        <v/>
      </c>
    </row>
    <row r="24">
      <c r="A24" s="2" t="n">
        <v>22</v>
      </c>
      <c r="B24" s="3" t="n">
        <v>5980</v>
      </c>
      <c r="C24" s="3" t="n">
        <v>29</v>
      </c>
      <c r="D24" s="4">
        <f>C24/B24</f>
        <v/>
      </c>
    </row>
    <row r="25">
      <c r="A25" s="2" t="n">
        <v>23</v>
      </c>
      <c r="B25" s="3" t="n">
        <v>4476</v>
      </c>
      <c r="C25" s="3" t="n">
        <v>20</v>
      </c>
      <c r="D25" s="4">
        <f>C25/B25</f>
        <v/>
      </c>
    </row>
    <row r="26">
      <c r="A26" s="5" t="inlineStr">
        <is>
          <t>Grand Total</t>
        </is>
      </c>
      <c r="B26" s="6">
        <f>SUM(B2:B25)</f>
        <v/>
      </c>
      <c r="C26" s="6">
        <f>SUM(C2:C25)</f>
        <v/>
      </c>
      <c r="D26" s="7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Adform</t>
        </is>
      </c>
      <c r="B2" s="3" t="n">
        <v>990</v>
      </c>
      <c r="C2" s="3" t="n">
        <v>5</v>
      </c>
      <c r="D2" s="4">
        <f>C2/B2</f>
        <v/>
      </c>
    </row>
    <row r="3">
      <c r="A3" s="2" t="inlineStr">
        <is>
          <t>BidSwitch</t>
        </is>
      </c>
      <c r="B3" s="3" t="n">
        <v>27060</v>
      </c>
      <c r="C3" s="3" t="n">
        <v>129</v>
      </c>
      <c r="D3" s="4">
        <f>C3/B3</f>
        <v/>
      </c>
    </row>
    <row r="4">
      <c r="A4" s="2" t="inlineStr">
        <is>
          <t>Criteo Commerce Grid</t>
        </is>
      </c>
      <c r="B4" s="3" t="n">
        <v>4562</v>
      </c>
      <c r="C4" s="3" t="n">
        <v>21</v>
      </c>
      <c r="D4" s="4">
        <f>C4/B4</f>
        <v/>
      </c>
    </row>
    <row r="5">
      <c r="A5" s="2" t="inlineStr">
        <is>
          <t>Epsilon Core Private Exchange</t>
        </is>
      </c>
      <c r="B5" s="3" t="n">
        <v>72</v>
      </c>
      <c r="C5" s="3" t="n">
        <v>0</v>
      </c>
      <c r="D5" s="4">
        <f>C5/B5</f>
        <v/>
      </c>
    </row>
    <row r="6">
      <c r="A6" s="2" t="inlineStr">
        <is>
          <t>Equativ</t>
        </is>
      </c>
      <c r="B6" s="3" t="n">
        <v>6660</v>
      </c>
      <c r="C6" s="3" t="n">
        <v>27</v>
      </c>
      <c r="D6" s="4">
        <f>C6/B6</f>
        <v/>
      </c>
    </row>
    <row r="7">
      <c r="A7" s="2" t="inlineStr">
        <is>
          <t>Google Ad Manager</t>
        </is>
      </c>
      <c r="B7" s="3" t="n">
        <v>73913</v>
      </c>
      <c r="C7" s="3" t="n">
        <v>372</v>
      </c>
      <c r="D7" s="4">
        <f>C7/B7</f>
        <v/>
      </c>
    </row>
    <row r="8">
      <c r="A8" s="2" t="inlineStr">
        <is>
          <t>GumGum</t>
        </is>
      </c>
      <c r="B8" s="3" t="n">
        <v>394</v>
      </c>
      <c r="C8" s="3" t="n">
        <v>2</v>
      </c>
      <c r="D8" s="4">
        <f>C8/B8</f>
        <v/>
      </c>
    </row>
    <row r="9">
      <c r="A9" s="2" t="inlineStr">
        <is>
          <t>Improve Digital</t>
        </is>
      </c>
      <c r="B9" s="3" t="n">
        <v>118</v>
      </c>
      <c r="C9" s="3" t="n">
        <v>0</v>
      </c>
      <c r="D9" s="4">
        <f>C9/B9</f>
        <v/>
      </c>
    </row>
    <row r="10">
      <c r="A10" s="2" t="inlineStr">
        <is>
          <t>InMobi</t>
        </is>
      </c>
      <c r="B10" s="3" t="n">
        <v>1819</v>
      </c>
      <c r="C10" s="3" t="n">
        <v>9</v>
      </c>
      <c r="D10" s="4">
        <f>C10/B10</f>
        <v/>
      </c>
    </row>
    <row r="11">
      <c r="A11" s="2" t="inlineStr">
        <is>
          <t>Index Exchange</t>
        </is>
      </c>
      <c r="B11" s="3" t="n">
        <v>17320</v>
      </c>
      <c r="C11" s="3" t="n">
        <v>60</v>
      </c>
      <c r="D11" s="4">
        <f>C11/B11</f>
        <v/>
      </c>
    </row>
    <row r="12">
      <c r="A12" s="2" t="inlineStr">
        <is>
          <t>Kargo</t>
        </is>
      </c>
      <c r="B12" s="3" t="n">
        <v>84</v>
      </c>
      <c r="C12" s="3" t="n">
        <v>0</v>
      </c>
      <c r="D12" s="4">
        <f>C12/B12</f>
        <v/>
      </c>
    </row>
    <row r="13">
      <c r="A13" s="2" t="inlineStr">
        <is>
          <t>Magnite DV+</t>
        </is>
      </c>
      <c r="B13" s="3" t="n">
        <v>25105</v>
      </c>
      <c r="C13" s="3" t="n">
        <v>132</v>
      </c>
      <c r="D13" s="4">
        <f>C13/B13</f>
        <v/>
      </c>
    </row>
    <row r="14">
      <c r="A14" s="2" t="inlineStr">
        <is>
          <t>Media.net</t>
        </is>
      </c>
      <c r="B14" s="3" t="n">
        <v>3209</v>
      </c>
      <c r="C14" s="3" t="n">
        <v>11</v>
      </c>
      <c r="D14" s="4">
        <f>C14/B14</f>
        <v/>
      </c>
    </row>
    <row r="15">
      <c r="A15" s="2" t="inlineStr">
        <is>
          <t>Microsoft Monetize</t>
        </is>
      </c>
      <c r="B15" s="3" t="n">
        <v>946</v>
      </c>
      <c r="C15" s="3" t="n">
        <v>4</v>
      </c>
      <c r="D15" s="4">
        <f>C15/B15</f>
        <v/>
      </c>
    </row>
    <row r="16">
      <c r="A16" s="2" t="inlineStr">
        <is>
          <t>Nexxen (fka Unruly)</t>
        </is>
      </c>
      <c r="B16" s="3" t="n">
        <v>299</v>
      </c>
      <c r="C16" s="3" t="n">
        <v>2</v>
      </c>
      <c r="D16" s="4">
        <f>C16/B16</f>
        <v/>
      </c>
    </row>
    <row r="17">
      <c r="A17" s="2" t="inlineStr">
        <is>
          <t>OpenX</t>
        </is>
      </c>
      <c r="B17" s="3" t="n">
        <v>1487</v>
      </c>
      <c r="C17" s="3" t="n">
        <v>8</v>
      </c>
      <c r="D17" s="4">
        <f>C17/B17</f>
        <v/>
      </c>
    </row>
    <row r="18">
      <c r="A18" s="2" t="inlineStr">
        <is>
          <t>PubMatic</t>
        </is>
      </c>
      <c r="B18" s="3" t="n">
        <v>25566</v>
      </c>
      <c r="C18" s="3" t="n">
        <v>98</v>
      </c>
      <c r="D18" s="4">
        <f>C18/B18</f>
        <v/>
      </c>
    </row>
    <row r="19">
      <c r="A19" s="2" t="inlineStr">
        <is>
          <t>Sovrn</t>
        </is>
      </c>
      <c r="B19" s="3" t="n">
        <v>1743</v>
      </c>
      <c r="C19" s="3" t="n">
        <v>8</v>
      </c>
      <c r="D19" s="4">
        <f>C19/B19</f>
        <v/>
      </c>
    </row>
    <row r="20">
      <c r="A20" s="2" t="inlineStr">
        <is>
          <t>TeadsTv</t>
        </is>
      </c>
      <c r="B20" s="3" t="n">
        <v>597</v>
      </c>
      <c r="C20" s="3" t="n">
        <v>3</v>
      </c>
      <c r="D20" s="4">
        <f>C20/B20</f>
        <v/>
      </c>
    </row>
    <row r="21">
      <c r="A21" s="2" t="inlineStr">
        <is>
          <t>TripleLift</t>
        </is>
      </c>
      <c r="B21" s="3" t="n">
        <v>2206</v>
      </c>
      <c r="C21" s="3" t="n">
        <v>11</v>
      </c>
      <c r="D21" s="4">
        <f>C21/B21</f>
        <v/>
      </c>
    </row>
    <row r="22">
      <c r="A22" s="2" t="inlineStr">
        <is>
          <t>Yieldmo</t>
        </is>
      </c>
      <c r="B22" s="3" t="n">
        <v>6361</v>
      </c>
      <c r="C22" s="3" t="n">
        <v>26</v>
      </c>
      <c r="D22" s="4">
        <f>C22/B22</f>
        <v/>
      </c>
    </row>
    <row r="23">
      <c r="A23" s="5" t="inlineStr">
        <is>
          <t>Grand Total</t>
        </is>
      </c>
      <c r="B23" s="6">
        <f>SUM(B2:B22)</f>
        <v/>
      </c>
      <c r="C23" s="6">
        <f>SUM(C2:C22)</f>
        <v/>
      </c>
      <c r="D23" s="7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Desktop</t>
        </is>
      </c>
      <c r="B2" s="3" t="n">
        <v>87967</v>
      </c>
      <c r="C2" s="3" t="n">
        <v>349</v>
      </c>
      <c r="D2" s="4">
        <f>C2/B2</f>
        <v/>
      </c>
    </row>
    <row r="3">
      <c r="A3" s="2" t="inlineStr">
        <is>
          <t>Smart Phone</t>
        </is>
      </c>
      <c r="B3" s="3" t="n">
        <v>96572</v>
      </c>
      <c r="C3" s="3" t="n">
        <v>493</v>
      </c>
      <c r="D3" s="4">
        <f>C3/B3</f>
        <v/>
      </c>
    </row>
    <row r="4">
      <c r="A4" s="2" t="inlineStr">
        <is>
          <t>Tablet</t>
        </is>
      </c>
      <c r="B4" s="3" t="n">
        <v>15972</v>
      </c>
      <c r="C4" s="3" t="n">
        <v>86</v>
      </c>
      <c r="D4" s="4">
        <f>C4/B4</f>
        <v/>
      </c>
    </row>
    <row r="5">
      <c r="A5" s="5" t="inlineStr">
        <is>
          <t>Grand Total</t>
        </is>
      </c>
      <c r="B5" s="6">
        <f>SUM(B2:B4)</f>
        <v/>
      </c>
      <c r="C5" s="6">
        <f>SUM(C2:C4)</f>
        <v/>
      </c>
      <c r="D5" s="7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CA01433_Chinese_Burst-1_Banner_1000x90</t>
        </is>
      </c>
      <c r="B2" s="3" t="n">
        <v>308</v>
      </c>
      <c r="C2" s="3" t="n">
        <v>2</v>
      </c>
      <c r="D2" s="4">
        <f>C2/B2</f>
        <v/>
      </c>
    </row>
    <row r="3">
      <c r="A3" s="2" t="inlineStr">
        <is>
          <t>CA01433_Chinese_Burst-1_Banner_300x250</t>
        </is>
      </c>
      <c r="B3" s="3" t="n">
        <v>150613</v>
      </c>
      <c r="C3" s="3" t="n">
        <v>646</v>
      </c>
      <c r="D3" s="4">
        <f>C3/B3</f>
        <v/>
      </c>
    </row>
    <row r="4">
      <c r="A4" s="2" t="inlineStr">
        <is>
          <t>CA01433_Chinese_Burst-1_Banner_300x600</t>
        </is>
      </c>
      <c r="B4" s="3" t="n">
        <v>43579</v>
      </c>
      <c r="C4" s="3" t="n">
        <v>252</v>
      </c>
      <c r="D4" s="4">
        <f>C4/B4</f>
        <v/>
      </c>
    </row>
    <row r="5">
      <c r="A5" s="2" t="inlineStr">
        <is>
          <t>CA01433_Chinese_Burst-1_Banner_640x100</t>
        </is>
      </c>
      <c r="B5" s="3" t="n">
        <v>6011</v>
      </c>
      <c r="C5" s="3" t="n">
        <v>28</v>
      </c>
      <c r="D5" s="4">
        <f>C5/B5</f>
        <v/>
      </c>
    </row>
    <row r="6">
      <c r="A6" s="5" t="inlineStr">
        <is>
          <t>Grand Total</t>
        </is>
      </c>
      <c r="B6" s="6">
        <f>SUM(B2:B5)</f>
        <v/>
      </c>
      <c r="C6" s="6">
        <f>SUM(C2:C5)</f>
        <v/>
      </c>
      <c r="D6" s="7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Brisbane</t>
        </is>
      </c>
      <c r="B2" s="3" t="n">
        <v>164362</v>
      </c>
      <c r="C2" s="3" t="n">
        <v>756</v>
      </c>
      <c r="D2" s="4">
        <f>C2/B2</f>
        <v/>
      </c>
    </row>
    <row r="3">
      <c r="A3" s="2" t="inlineStr">
        <is>
          <t>Gold Coast</t>
        </is>
      </c>
      <c r="B3" s="3" t="n">
        <v>10401</v>
      </c>
      <c r="C3" s="3" t="n">
        <v>64</v>
      </c>
      <c r="D3" s="4">
        <f>C3/B3</f>
        <v/>
      </c>
    </row>
    <row r="4">
      <c r="A4" s="2" t="inlineStr">
        <is>
          <t>Toowoomba</t>
        </is>
      </c>
      <c r="B4" s="3" t="n">
        <v>2849</v>
      </c>
      <c r="C4" s="3" t="n">
        <v>11</v>
      </c>
      <c r="D4" s="4">
        <f>C4/B4</f>
        <v/>
      </c>
    </row>
    <row r="5">
      <c r="A5" s="2" t="inlineStr">
        <is>
          <t>Townsville</t>
        </is>
      </c>
      <c r="B5" s="3" t="n">
        <v>2479</v>
      </c>
      <c r="C5" s="3" t="n">
        <v>10</v>
      </c>
      <c r="D5" s="4">
        <f>C5/B5</f>
        <v/>
      </c>
    </row>
    <row r="6">
      <c r="A6" s="2" t="inlineStr">
        <is>
          <t>Mount Isa</t>
        </is>
      </c>
      <c r="B6" s="3" t="n">
        <v>2255</v>
      </c>
      <c r="C6" s="3" t="n">
        <v>13</v>
      </c>
      <c r="D6" s="4">
        <f>C6/B6</f>
        <v/>
      </c>
    </row>
    <row r="7">
      <c r="A7" s="2" t="inlineStr">
        <is>
          <t>Unknown</t>
        </is>
      </c>
      <c r="B7" s="3" t="n">
        <v>1827</v>
      </c>
      <c r="C7" s="3" t="n">
        <v>10</v>
      </c>
      <c r="D7" s="4">
        <f>C7/B7</f>
        <v/>
      </c>
    </row>
    <row r="8">
      <c r="A8" s="2" t="inlineStr">
        <is>
          <t>Cairns</t>
        </is>
      </c>
      <c r="B8" s="3" t="n">
        <v>1825</v>
      </c>
      <c r="C8" s="3" t="n">
        <v>9</v>
      </c>
      <c r="D8" s="4">
        <f>C8/B8</f>
        <v/>
      </c>
    </row>
    <row r="9">
      <c r="A9" s="2" t="inlineStr">
        <is>
          <t>Nerang</t>
        </is>
      </c>
      <c r="B9" s="3" t="n">
        <v>1308</v>
      </c>
      <c r="C9" s="3" t="n">
        <v>7</v>
      </c>
      <c r="D9" s="4">
        <f>C9/B9</f>
        <v/>
      </c>
    </row>
    <row r="10">
      <c r="A10" s="2" t="inlineStr">
        <is>
          <t>Sunshine Coast</t>
        </is>
      </c>
      <c r="B10" s="3" t="n">
        <v>1301</v>
      </c>
      <c r="C10" s="3" t="n">
        <v>7</v>
      </c>
      <c r="D10" s="4">
        <f>C10/B10</f>
        <v/>
      </c>
    </row>
    <row r="11">
      <c r="A11" s="2" t="inlineStr">
        <is>
          <t>Bowen</t>
        </is>
      </c>
      <c r="B11" s="3" t="n">
        <v>1196</v>
      </c>
      <c r="C11" s="3" t="n">
        <v>6</v>
      </c>
      <c r="D11" s="4">
        <f>C11/B11</f>
        <v/>
      </c>
    </row>
    <row r="12">
      <c r="A12" s="2" t="inlineStr">
        <is>
          <t>Mackay</t>
        </is>
      </c>
      <c r="B12" s="3" t="n">
        <v>1194</v>
      </c>
      <c r="C12" s="3" t="n">
        <v>6</v>
      </c>
      <c r="D12" s="4">
        <f>C12/B12</f>
        <v/>
      </c>
    </row>
    <row r="13">
      <c r="A13" s="2" t="inlineStr">
        <is>
          <t>Caloundra</t>
        </is>
      </c>
      <c r="B13" s="3" t="n">
        <v>1111</v>
      </c>
      <c r="C13" s="3" t="n">
        <v>4</v>
      </c>
      <c r="D13" s="4">
        <f>C13/B13</f>
        <v/>
      </c>
    </row>
    <row r="14">
      <c r="A14" s="2" t="inlineStr">
        <is>
          <t>Bargara</t>
        </is>
      </c>
      <c r="B14" s="3" t="n">
        <v>964</v>
      </c>
      <c r="C14" s="3" t="n">
        <v>6</v>
      </c>
      <c r="D14" s="4">
        <f>C14/B14</f>
        <v/>
      </c>
    </row>
    <row r="15">
      <c r="A15" s="2" t="inlineStr">
        <is>
          <t>Morayfield</t>
        </is>
      </c>
      <c r="B15" s="3" t="n">
        <v>752</v>
      </c>
      <c r="C15" s="3" t="n">
        <v>3</v>
      </c>
      <c r="D15" s="4">
        <f>C15/B15</f>
        <v/>
      </c>
    </row>
    <row r="16">
      <c r="A16" s="2" t="inlineStr">
        <is>
          <t>Gladstone</t>
        </is>
      </c>
      <c r="B16" s="3" t="n">
        <v>568</v>
      </c>
      <c r="C16" s="3" t="n">
        <v>3</v>
      </c>
      <c r="D16" s="4">
        <f>C16/B16</f>
        <v/>
      </c>
    </row>
    <row r="17">
      <c r="A17" s="2" t="inlineStr">
        <is>
          <t>Victoria Point</t>
        </is>
      </c>
      <c r="B17" s="3" t="n">
        <v>549</v>
      </c>
      <c r="C17" s="3" t="n">
        <v>2</v>
      </c>
      <c r="D17" s="4">
        <f>C17/B17</f>
        <v/>
      </c>
    </row>
    <row r="18">
      <c r="A18" s="2" t="inlineStr">
        <is>
          <t>Gatton</t>
        </is>
      </c>
      <c r="B18" s="3" t="n">
        <v>444</v>
      </c>
      <c r="C18" s="3" t="n">
        <v>2</v>
      </c>
      <c r="D18" s="4">
        <f>C18/B18</f>
        <v/>
      </c>
    </row>
    <row r="19">
      <c r="A19" s="2" t="inlineStr">
        <is>
          <t>Kawana</t>
        </is>
      </c>
      <c r="B19" s="3" t="n">
        <v>428</v>
      </c>
      <c r="C19" s="3" t="n">
        <v>2</v>
      </c>
      <c r="D19" s="4">
        <f>C19/B19</f>
        <v/>
      </c>
    </row>
    <row r="20">
      <c r="A20" s="2" t="inlineStr">
        <is>
          <t>Maroochydore</t>
        </is>
      </c>
      <c r="B20" s="3" t="n">
        <v>355</v>
      </c>
      <c r="C20" s="3" t="n">
        <v>1</v>
      </c>
      <c r="D20" s="4">
        <f>C20/B20</f>
        <v/>
      </c>
    </row>
    <row r="21">
      <c r="A21" s="2" t="inlineStr">
        <is>
          <t>Rockhampton</t>
        </is>
      </c>
      <c r="B21" s="3" t="n">
        <v>348</v>
      </c>
      <c r="C21" s="3" t="n">
        <v>1</v>
      </c>
      <c r="D21" s="4">
        <f>C21/B21</f>
        <v/>
      </c>
    </row>
    <row r="22">
      <c r="A22" s="2" t="inlineStr">
        <is>
          <t>Brisbane City</t>
        </is>
      </c>
      <c r="B22" s="3" t="n">
        <v>319</v>
      </c>
      <c r="C22" s="3" t="n">
        <v>1</v>
      </c>
      <c r="D22" s="4">
        <f>C22/B22</f>
        <v/>
      </c>
    </row>
    <row r="23">
      <c r="A23" s="2" t="inlineStr">
        <is>
          <t>Buderim</t>
        </is>
      </c>
      <c r="B23" s="3" t="n">
        <v>313</v>
      </c>
      <c r="C23" s="3" t="n">
        <v>1</v>
      </c>
      <c r="D23" s="4">
        <f>C23/B23</f>
        <v/>
      </c>
    </row>
    <row r="24">
      <c r="A24" s="2" t="inlineStr">
        <is>
          <t>Hervey Bay</t>
        </is>
      </c>
      <c r="B24" s="3" t="n">
        <v>237</v>
      </c>
      <c r="C24" s="3" t="n">
        <v>1</v>
      </c>
      <c r="D24" s="4">
        <f>C24/B24</f>
        <v/>
      </c>
    </row>
    <row r="25">
      <c r="A25" s="2" t="inlineStr">
        <is>
          <t>Redland City</t>
        </is>
      </c>
      <c r="B25" s="3" t="n">
        <v>205</v>
      </c>
      <c r="C25" s="3" t="n">
        <v>1</v>
      </c>
      <c r="D25" s="4">
        <f>C25/B25</f>
        <v/>
      </c>
    </row>
    <row r="26">
      <c r="A26" s="2" t="inlineStr">
        <is>
          <t>Nambour</t>
        </is>
      </c>
      <c r="B26" s="3" t="n">
        <v>195</v>
      </c>
      <c r="C26" s="3" t="n">
        <v>1</v>
      </c>
      <c r="D26" s="4">
        <f>C26/B26</f>
        <v/>
      </c>
    </row>
    <row r="27">
      <c r="A27" s="2" t="inlineStr">
        <is>
          <t>Plainland</t>
        </is>
      </c>
      <c r="B27" s="3" t="n">
        <v>171</v>
      </c>
      <c r="C27" s="3" t="n">
        <v>0</v>
      </c>
      <c r="D27" s="4">
        <f>C27/B27</f>
        <v/>
      </c>
    </row>
    <row r="28">
      <c r="A28" s="2" t="inlineStr">
        <is>
          <t>Lowood</t>
        </is>
      </c>
      <c r="B28" s="3" t="n">
        <v>170</v>
      </c>
      <c r="C28" s="3" t="n">
        <v>0</v>
      </c>
      <c r="D28" s="4">
        <f>C28/B28</f>
        <v/>
      </c>
    </row>
    <row r="29">
      <c r="A29" s="2" t="inlineStr">
        <is>
          <t>Moranbah</t>
        </is>
      </c>
      <c r="B29" s="3" t="n">
        <v>160</v>
      </c>
      <c r="C29" s="3" t="n">
        <v>0</v>
      </c>
      <c r="D29" s="4">
        <f>C29/B29</f>
        <v/>
      </c>
    </row>
    <row r="30">
      <c r="A30" s="2" t="inlineStr">
        <is>
          <t>Gympie</t>
        </is>
      </c>
      <c r="B30" s="3" t="n">
        <v>159</v>
      </c>
      <c r="C30" s="3" t="n">
        <v>0</v>
      </c>
      <c r="D30" s="4">
        <f>C30/B30</f>
        <v/>
      </c>
    </row>
    <row r="31">
      <c r="A31" s="2" t="inlineStr">
        <is>
          <t>Port Douglas</t>
        </is>
      </c>
      <c r="B31" s="3" t="n">
        <v>157</v>
      </c>
      <c r="C31" s="3" t="n">
        <v>0</v>
      </c>
      <c r="D31" s="4">
        <f>C31/B31</f>
        <v/>
      </c>
    </row>
    <row r="32">
      <c r="A32" s="2" t="inlineStr">
        <is>
          <t>Cannonvale</t>
        </is>
      </c>
      <c r="B32" s="3" t="n">
        <v>153</v>
      </c>
      <c r="C32" s="3" t="n">
        <v>0</v>
      </c>
      <c r="D32" s="4">
        <f>C32/B32</f>
        <v/>
      </c>
    </row>
    <row r="33">
      <c r="A33" s="2" t="inlineStr">
        <is>
          <t>Jimboomba</t>
        </is>
      </c>
      <c r="B33" s="3" t="n">
        <v>151</v>
      </c>
      <c r="C33" s="3" t="n">
        <v>0</v>
      </c>
      <c r="D33" s="4">
        <f>C33/B33</f>
        <v/>
      </c>
    </row>
    <row r="34">
      <c r="A34" s="2" t="inlineStr">
        <is>
          <t>Bongaree</t>
        </is>
      </c>
      <c r="B34" s="3" t="n">
        <v>140</v>
      </c>
      <c r="C34" s="3" t="n">
        <v>0</v>
      </c>
      <c r="D34" s="4">
        <f>C34/B34</f>
        <v/>
      </c>
    </row>
    <row r="35">
      <c r="A35" s="2" t="inlineStr">
        <is>
          <t>Yeppoon</t>
        </is>
      </c>
      <c r="B35" s="3" t="n">
        <v>127</v>
      </c>
      <c r="C35" s="3" t="n">
        <v>0</v>
      </c>
      <c r="D35" s="4">
        <f>C35/B35</f>
        <v/>
      </c>
    </row>
    <row r="36">
      <c r="A36" s="2" t="inlineStr">
        <is>
          <t>Emerald</t>
        </is>
      </c>
      <c r="B36" s="3" t="n">
        <v>117</v>
      </c>
      <c r="C36" s="3" t="n">
        <v>0</v>
      </c>
      <c r="D36" s="4">
        <f>C36/B36</f>
        <v/>
      </c>
    </row>
    <row r="37">
      <c r="A37" s="2" t="inlineStr">
        <is>
          <t>Palmview</t>
        </is>
      </c>
      <c r="B37" s="3" t="n">
        <v>82</v>
      </c>
      <c r="C37" s="3" t="n">
        <v>0</v>
      </c>
      <c r="D37" s="4">
        <f>C37/B37</f>
        <v/>
      </c>
    </row>
    <row r="38">
      <c r="A38" s="2" t="inlineStr">
        <is>
          <t>Cornubia</t>
        </is>
      </c>
      <c r="B38" s="3" t="n">
        <v>78</v>
      </c>
      <c r="C38" s="3" t="n">
        <v>0</v>
      </c>
      <c r="D38" s="4">
        <f>C38/B38</f>
        <v/>
      </c>
    </row>
    <row r="39">
      <c r="A39" s="2" t="inlineStr">
        <is>
          <t>Elimbah</t>
        </is>
      </c>
      <c r="B39" s="3" t="n">
        <v>80</v>
      </c>
      <c r="C39" s="3" t="n">
        <v>0</v>
      </c>
      <c r="D39" s="4">
        <f>C39/B39</f>
        <v/>
      </c>
    </row>
    <row r="40">
      <c r="A40" s="2" t="inlineStr">
        <is>
          <t>Maryborough</t>
        </is>
      </c>
      <c r="B40" s="3" t="n">
        <v>76</v>
      </c>
      <c r="C40" s="3" t="n">
        <v>0</v>
      </c>
      <c r="D40" s="4">
        <f>C40/B40</f>
        <v/>
      </c>
    </row>
    <row r="41">
      <c r="A41" s="2" t="inlineStr">
        <is>
          <t>Stanthorpe</t>
        </is>
      </c>
      <c r="B41" s="3" t="n">
        <v>72</v>
      </c>
      <c r="C41" s="3" t="n">
        <v>0</v>
      </c>
      <c r="D41" s="4">
        <f>C41/B41</f>
        <v/>
      </c>
    </row>
    <row r="42">
      <c r="A42" s="2" t="inlineStr">
        <is>
          <t>Mareeba</t>
        </is>
      </c>
      <c r="B42" s="3" t="n">
        <v>60</v>
      </c>
      <c r="C42" s="3" t="n">
        <v>0</v>
      </c>
      <c r="D42" s="4">
        <f>C42/B42</f>
        <v/>
      </c>
    </row>
    <row r="43">
      <c r="A43" s="2" t="inlineStr">
        <is>
          <t>Samford Valley</t>
        </is>
      </c>
      <c r="B43" s="3" t="n">
        <v>58</v>
      </c>
      <c r="C43" s="3" t="n">
        <v>0</v>
      </c>
      <c r="D43" s="4">
        <f>C43/B43</f>
        <v/>
      </c>
    </row>
    <row r="44">
      <c r="A44" s="2" t="inlineStr">
        <is>
          <t>Kingaroy</t>
        </is>
      </c>
      <c r="B44" s="3" t="n">
        <v>56</v>
      </c>
      <c r="C44" s="3" t="n">
        <v>0</v>
      </c>
      <c r="D44" s="4">
        <f>C44/B44</f>
        <v/>
      </c>
    </row>
    <row r="45">
      <c r="A45" s="2" t="inlineStr">
        <is>
          <t>Noosaville</t>
        </is>
      </c>
      <c r="B45" s="3" t="n">
        <v>28</v>
      </c>
      <c r="C45" s="3" t="n">
        <v>0</v>
      </c>
      <c r="D45" s="4">
        <f>C45/B45</f>
        <v/>
      </c>
    </row>
    <row r="46">
      <c r="A46" s="2" t="inlineStr">
        <is>
          <t>North Stradbroke Island</t>
        </is>
      </c>
      <c r="B46" s="3" t="n">
        <v>49</v>
      </c>
      <c r="C46" s="3" t="n">
        <v>0</v>
      </c>
      <c r="D46" s="4">
        <f>C46/B46</f>
        <v/>
      </c>
    </row>
    <row r="47">
      <c r="A47" s="2" t="inlineStr">
        <is>
          <t>Tewantin</t>
        </is>
      </c>
      <c r="B47" s="3" t="n">
        <v>47</v>
      </c>
      <c r="C47" s="3" t="n">
        <v>0</v>
      </c>
      <c r="D47" s="4">
        <f>C47/B47</f>
        <v/>
      </c>
    </row>
    <row r="48">
      <c r="A48" s="2" t="inlineStr">
        <is>
          <t>Warwick</t>
        </is>
      </c>
      <c r="B48" s="3" t="n">
        <v>43</v>
      </c>
      <c r="C48" s="3" t="n">
        <v>0</v>
      </c>
      <c r="D48" s="4">
        <f>C48/B48</f>
        <v/>
      </c>
    </row>
    <row r="49">
      <c r="A49" s="2" t="inlineStr">
        <is>
          <t>Belmont</t>
        </is>
      </c>
      <c r="B49" s="3" t="n">
        <v>42</v>
      </c>
      <c r="C49" s="3" t="n">
        <v>0</v>
      </c>
      <c r="D49" s="4">
        <f>C49/B49</f>
        <v/>
      </c>
    </row>
    <row r="50">
      <c r="A50" s="2" t="inlineStr">
        <is>
          <t>Caboolture</t>
        </is>
      </c>
      <c r="B50" s="3" t="n">
        <v>36</v>
      </c>
      <c r="C50" s="3" t="n">
        <v>0</v>
      </c>
      <c r="D50" s="4">
        <f>C50/B50</f>
        <v/>
      </c>
    </row>
    <row r="51">
      <c r="A51" s="2" t="inlineStr">
        <is>
          <t>Chinchilla</t>
        </is>
      </c>
      <c r="B51" s="3" t="n">
        <v>34</v>
      </c>
      <c r="C51" s="3" t="n">
        <v>0</v>
      </c>
      <c r="D51" s="4">
        <f>C51/B51</f>
        <v/>
      </c>
    </row>
    <row r="52">
      <c r="A52" s="2" t="inlineStr">
        <is>
          <t>Dalby</t>
        </is>
      </c>
      <c r="B52" s="3" t="n">
        <v>53</v>
      </c>
      <c r="C52" s="3" t="n">
        <v>0</v>
      </c>
      <c r="D52" s="4">
        <f>C52/B52</f>
        <v/>
      </c>
    </row>
    <row r="53">
      <c r="A53" s="2" t="inlineStr">
        <is>
          <t>Beerwah</t>
        </is>
      </c>
      <c r="B53" s="3" t="n">
        <v>32</v>
      </c>
      <c r="C53" s="3" t="n">
        <v>0</v>
      </c>
      <c r="D53" s="4">
        <f>C53/B53</f>
        <v/>
      </c>
    </row>
    <row r="54">
      <c r="A54" s="2" t="inlineStr">
        <is>
          <t>Burbank</t>
        </is>
      </c>
      <c r="B54" s="3" t="n">
        <v>30</v>
      </c>
      <c r="C54" s="3" t="n">
        <v>0</v>
      </c>
      <c r="D54" s="4">
        <f>C54/B54</f>
        <v/>
      </c>
    </row>
    <row r="55">
      <c r="A55" s="2" t="inlineStr">
        <is>
          <t>Glass House Mountains</t>
        </is>
      </c>
      <c r="B55" s="3" t="n">
        <v>40</v>
      </c>
      <c r="C55" s="3" t="n">
        <v>0</v>
      </c>
      <c r="D55" s="4">
        <f>C55/B55</f>
        <v/>
      </c>
    </row>
    <row r="56">
      <c r="A56" s="2" t="inlineStr">
        <is>
          <t>Maleny</t>
        </is>
      </c>
      <c r="B56" s="3" t="n">
        <v>89</v>
      </c>
      <c r="C56" s="3" t="n">
        <v>0</v>
      </c>
      <c r="D56" s="4">
        <f>C56/B56</f>
        <v/>
      </c>
    </row>
    <row r="57">
      <c r="A57" s="2" t="inlineStr">
        <is>
          <t>Gladstone Central</t>
        </is>
      </c>
      <c r="B57" s="3" t="n">
        <v>8</v>
      </c>
      <c r="C57" s="3" t="n">
        <v>0</v>
      </c>
      <c r="D57" s="4">
        <f>C57/B57</f>
        <v/>
      </c>
    </row>
    <row r="58">
      <c r="A58" s="2" t="inlineStr">
        <is>
          <t>Ninderry</t>
        </is>
      </c>
      <c r="B58" s="3" t="n">
        <v>79</v>
      </c>
      <c r="C58" s="3" t="n">
        <v>0</v>
      </c>
      <c r="D58" s="4">
        <f>C58/B58</f>
        <v/>
      </c>
    </row>
    <row r="59">
      <c r="A59" s="2" t="inlineStr">
        <is>
          <t>Chandler</t>
        </is>
      </c>
      <c r="B59" s="3" t="n">
        <v>25</v>
      </c>
      <c r="C59" s="3" t="n">
        <v>0</v>
      </c>
      <c r="D59" s="4">
        <f>C59/B59</f>
        <v/>
      </c>
    </row>
    <row r="60">
      <c r="A60" s="2" t="inlineStr">
        <is>
          <t>Beaudesert</t>
        </is>
      </c>
      <c r="B60" s="3" t="n">
        <v>23</v>
      </c>
      <c r="C60" s="3" t="n">
        <v>0</v>
      </c>
      <c r="D60" s="4">
        <f>C60/B60</f>
        <v/>
      </c>
    </row>
    <row r="61">
      <c r="A61" s="2" t="inlineStr">
        <is>
          <t>Gracemere</t>
        </is>
      </c>
      <c r="B61" s="3" t="n">
        <v>1</v>
      </c>
      <c r="C61" s="3" t="n">
        <v>0</v>
      </c>
      <c r="D61" s="4">
        <f>C61/B61</f>
        <v/>
      </c>
    </row>
    <row r="62">
      <c r="A62" s="5" t="inlineStr">
        <is>
          <t>Grand Total</t>
        </is>
      </c>
      <c r="B62" s="6">
        <f>SUM(B2:B61)</f>
        <v/>
      </c>
      <c r="C62" s="6">
        <f>SUM(C2:C61)</f>
        <v/>
      </c>
      <c r="D62" s="7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18-24</t>
        </is>
      </c>
      <c r="B2" s="3" t="n">
        <v>47232</v>
      </c>
      <c r="C2" s="3" t="n">
        <v>163</v>
      </c>
      <c r="D2" s="4">
        <f>C2/B2</f>
        <v/>
      </c>
    </row>
    <row r="3">
      <c r="A3" s="2" t="inlineStr">
        <is>
          <t>25-34</t>
        </is>
      </c>
      <c r="B3" s="3" t="n">
        <v>68980</v>
      </c>
      <c r="C3" s="3" t="n">
        <v>346</v>
      </c>
      <c r="D3" s="4">
        <f>C3/B3</f>
        <v/>
      </c>
    </row>
    <row r="4">
      <c r="A4" s="2" t="inlineStr">
        <is>
          <t>35-44</t>
        </is>
      </c>
      <c r="B4" s="3" t="n">
        <v>63670</v>
      </c>
      <c r="C4" s="3" t="n">
        <v>314</v>
      </c>
      <c r="D4" s="4">
        <f>C4/B4</f>
        <v/>
      </c>
    </row>
    <row r="5">
      <c r="A5" s="2" t="inlineStr">
        <is>
          <t>45-54</t>
        </is>
      </c>
      <c r="B5" s="3" t="n">
        <v>20629</v>
      </c>
      <c r="C5" s="3" t="n">
        <v>105</v>
      </c>
      <c r="D5" s="4">
        <f>C5/B5</f>
        <v/>
      </c>
    </row>
    <row r="6">
      <c r="A6" s="5" t="inlineStr">
        <is>
          <t>Grand Total</t>
        </is>
      </c>
      <c r="B6" s="6">
        <f>SUM(B2:B5)</f>
        <v/>
      </c>
      <c r="C6" s="6">
        <f>SUM(C2:C5)</f>
        <v/>
      </c>
      <c r="D6" s="7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Male</t>
        </is>
      </c>
      <c r="B2" s="3" t="n">
        <v>121501</v>
      </c>
      <c r="C2" s="3" t="n">
        <v>475</v>
      </c>
      <c r="D2" s="4">
        <f>C2/B2</f>
        <v/>
      </c>
    </row>
    <row r="3">
      <c r="A3" s="2" t="inlineStr">
        <is>
          <t>Female</t>
        </is>
      </c>
      <c r="B3" s="3" t="n">
        <v>79010</v>
      </c>
      <c r="C3" s="3" t="n">
        <v>453</v>
      </c>
      <c r="D3" s="4">
        <f>C3/B3</f>
        <v/>
      </c>
    </row>
    <row r="4">
      <c r="A4" s="5" t="inlineStr">
        <is>
          <t>Grand Total</t>
        </is>
      </c>
      <c r="B4" s="6">
        <f>SUM(B2:B3)</f>
        <v/>
      </c>
      <c r="C4" s="6">
        <f>SUM(C2:C3)</f>
        <v/>
      </c>
      <c r="D4" s="7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2026-05-25T18:03:12Z</dcterms:created>
  <dcterms:modified xmlns:dcterms="http://purl.org/dc/terms/" xmlns:xsi="http://www.w3.org/2001/XMLSchema-instance" xsi:type="dcterms:W3CDTF">2026-05-25T18:03:13Z</dcterms:modified>
</cp:coreProperties>
</file>